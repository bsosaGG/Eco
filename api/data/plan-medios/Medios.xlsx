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luisbosareyes/Downloads/"/>
    </mc:Choice>
  </mc:AlternateContent>
  <xr:revisionPtr revIDLastSave="0" documentId="13_ncr:1_{A63C3090-F01B-4243-8A27-DA3FEF33A7F8}" xr6:coauthVersionLast="47" xr6:coauthVersionMax="47" xr10:uidLastSave="{00000000-0000-0000-0000-000000000000}"/>
  <bookViews>
    <workbookView xWindow="4340" yWindow="500" windowWidth="24460" windowHeight="17500" activeTab="2" xr2:uid="{00000000-000D-0000-FFFF-FFFF00000000}"/>
  </bookViews>
  <sheets>
    <sheet name="Televisión" sheetId="1" r:id="rId1"/>
    <sheet name="Radio" sheetId="3" r:id="rId2"/>
    <sheet name="Cable" sheetId="5" r:id="rId3"/>
    <sheet name="Exteriores" sheetId="7" r:id="rId4"/>
    <sheet name="Impresos" sheetId="9" r:id="rId5"/>
    <sheet name="Digital" sheetId="11" r:id="rId6"/>
    <sheet name="Estudios de audiencias" sheetId="13" r:id="rId7"/>
    <sheet name="Paquetes especiales" sheetId="14" r:id="rId8"/>
  </sheets>
  <definedNames>
    <definedName name="_xlnm._FilterDatabase" localSheetId="2" hidden="1">Cable!$B$2:$M$33</definedName>
    <definedName name="_xlnm._FilterDatabase" localSheetId="1" hidden="1">Radio!$B$2:$H$45</definedName>
    <definedName name="_xlnm._FilterDatabase" localSheetId="0" hidden="1">Televisión!$A$2:$W$15</definedName>
    <definedName name="Z_1C61B373_C418_466B_9F3B_83C181895304_.wvu.FilterData" localSheetId="3" hidden="1">Exteriores!$B$1:$M$18</definedName>
  </definedNames>
  <calcPr calcId="191029"/>
  <customWorkbookViews>
    <customWorkbookView name="Filtro 1" guid="{1C61B373-C418-466B-9F3B-83C18189530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zSWiCNouHNFuraNqTFpnbeYy/2VfNiXXQ1pKg4o1nFU="/>
    </ext>
  </extLst>
</workbook>
</file>

<file path=xl/calcChain.xml><?xml version="1.0" encoding="utf-8"?>
<calcChain xmlns="http://schemas.openxmlformats.org/spreadsheetml/2006/main">
  <c r="J119" i="5" l="1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H91" i="3"/>
  <c r="H83" i="3"/>
  <c r="H77" i="3"/>
  <c r="H72" i="3"/>
  <c r="H68" i="3"/>
  <c r="H63" i="3"/>
  <c r="H62" i="3"/>
  <c r="H61" i="3"/>
  <c r="H60" i="3"/>
  <c r="H59" i="3"/>
  <c r="H58" i="3"/>
  <c r="H56" i="3"/>
  <c r="H53" i="3"/>
  <c r="H52" i="3"/>
  <c r="H51" i="3"/>
  <c r="H47" i="3"/>
  <c r="I46" i="3"/>
  <c r="I4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8" authorId="0" shapeId="0" xr:uid="{00000000-0006-0000-0800-000001000000}">
      <text>
        <r>
          <rPr>
            <sz val="12"/>
            <color theme="1"/>
            <rFont val="Calibri"/>
            <family val="2"/>
            <scheme val="minor"/>
          </rPr>
          <t>======
ID#AAAB0rGJ7Mw
Unidad De Medios    (2026-02-23 20:18:05)
Tarifa especial para SCSPR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KAXz63MDvcTP/OmIvq1aP/xO0g=="/>
    </ext>
  </extLst>
</comments>
</file>

<file path=xl/sharedStrings.xml><?xml version="1.0" encoding="utf-8"?>
<sst xmlns="http://schemas.openxmlformats.org/spreadsheetml/2006/main" count="2422" uniqueCount="1092">
  <si>
    <t>TELEVISIÓN</t>
  </si>
  <si>
    <t>RADIO</t>
  </si>
  <si>
    <t>NO</t>
  </si>
  <si>
    <t>NOMBRE DEL MEDIO</t>
  </si>
  <si>
    <t>NIT</t>
  </si>
  <si>
    <t>RAZON SOCIAL</t>
  </si>
  <si>
    <t xml:space="preserve">FORMATO </t>
  </si>
  <si>
    <t>COBERTURA</t>
  </si>
  <si>
    <t>ALCANCE PROM. MENSUAL</t>
  </si>
  <si>
    <t>COSTO X SEG.</t>
  </si>
  <si>
    <t xml:space="preserve">BONIFICACIONES </t>
  </si>
  <si>
    <t>NSE</t>
  </si>
  <si>
    <t>GRUPO OBJETIVO</t>
  </si>
  <si>
    <t>Alcance prom.</t>
  </si>
  <si>
    <t>COSTO X SEG. CON IMPS.</t>
  </si>
  <si>
    <t>CANAL 3</t>
  </si>
  <si>
    <t>BONIFICACIONES</t>
  </si>
  <si>
    <t>RADIO SONORA 96.9 FM</t>
  </si>
  <si>
    <t>RADIO TELEVISION GUATEMALA SOCIEDAD ANONIMA</t>
  </si>
  <si>
    <t>534087K</t>
  </si>
  <si>
    <t>CONTENIDOS DE ENTRETENIMIENTO, DEPORTIVOS E INFORMATIVOS, QUE INCLUYEN NOTICIEROS, NOVELAS, REALITY SHOWS 
Y PROGRAMAS DE COMPETENCIA, TRANSMISIONES DEPORTIVAS, PROGRAMAS DE INVESTIGACIÓN Y ESPECTÁCULOS.</t>
  </si>
  <si>
    <t>CENTRAL DE RADIO, SOCIEDAD ANONIMA</t>
  </si>
  <si>
    <t xml:space="preserve">Nacional </t>
  </si>
  <si>
    <t>NOTICIOSO EN TODOS LOS AMBITOS DEPORTES, POLÍTICA, MÚSICA ETC. NACIONAL 
É INTERNACIONAL, MÚSICA VARIADA EN INGLÉS Y ESPAÑOL Y NOTAS CIENTÍFICAS.</t>
  </si>
  <si>
    <t xml:space="preserve">NACIONAL </t>
  </si>
  <si>
    <t>Q 108.09</t>
  </si>
  <si>
    <t>N/A</t>
  </si>
  <si>
    <t>A, B, C, D y E.</t>
  </si>
  <si>
    <t>Hombres y Mujeres de 18 años en adelante.</t>
  </si>
  <si>
    <t>Q 15.21</t>
  </si>
  <si>
    <t>CANAL 7</t>
  </si>
  <si>
    <t>Hombres y mujeres de 30 años en adelante</t>
  </si>
  <si>
    <t>RADIO SONORA 96.9 FM (NOTICENTRO)</t>
  </si>
  <si>
    <t>NOTICIOSO, DEPORTIVO Y POLÍTICO</t>
  </si>
  <si>
    <t>Q 16.97</t>
  </si>
  <si>
    <t>TELEVISIETE SOCIEDAD ANONIMA</t>
  </si>
  <si>
    <t>EDUCATIVA E INFORMATIVA, LA CUAL ESTÉ INTEGRADA POR NOVELAS, PELÍCULAS, SERIES, NOTICIEROS Y PROGRAMAS DE REVISTA.</t>
  </si>
  <si>
    <t>CENTRAL DE RADIOS (GALAXIA 85.5 FM )</t>
  </si>
  <si>
    <t>CANAL 11</t>
  </si>
  <si>
    <t>MÚSICAL GRUPERA, RANCHERA, CUMBIA Y URBANA</t>
  </si>
  <si>
    <t>EN LOS DEPARTAMENTOS DE GUATEMALA, SACATEPÉQUEZ, CHIMALTENANGO, 
EL PROGRESO, CHIQUIMULA, ZACAPA, QUETZALTENANGO, TOTONICAPÁN, SUCHITEPÉQUEZ, 
RETALHULEU, SAN MARCOS, ALTA VERAPAZ, SANTA ROSA, ESCUINTLA, QUICHÉ, JALAPA, IZABAL 
Y PETÉN.</t>
  </si>
  <si>
    <t xml:space="preserve">Q 13.17 </t>
  </si>
  <si>
    <t>Hombres y mujeres de 13 a 40 años.</t>
  </si>
  <si>
    <t>CENTRAL (ALFA 97.3 FM)</t>
  </si>
  <si>
    <t>MÚSICA POP RÍTMICA Y BALADA MODERNA EN ESPAÑOL É INGLÉS 
Y MÚSICA DEL RECUERDO</t>
  </si>
  <si>
    <t>EN LOS DEPARTAMENTOS DE GUATEMALA, SACATEPÉQUEZ, CHIMALTENANGO, 
SANTA ROSA, EL PROGRESO, QUETZALTENANGO, TOTONICAPÁN, RETALHULEU, SUCHITEPÉQUEZ 
Y ESCUINTLA.</t>
  </si>
  <si>
    <t>A, B, C y D.</t>
  </si>
  <si>
    <t>Hombres y mujeres de 13 años en adelante.</t>
  </si>
  <si>
    <t>TELE ONCE SOCIEDAD ANONIMA</t>
  </si>
  <si>
    <t>INFANTIL, SERIES DE CORTE JUVENIL, PELICULAS Y  PROGRAMA DEPORTIVO.</t>
  </si>
  <si>
    <t>Q 415.84</t>
  </si>
  <si>
    <t>RADIO ÍNTIMA 96.3 FM</t>
  </si>
  <si>
    <t>B-, C y D</t>
  </si>
  <si>
    <t>Hombres y Mujeres mayores de 15 años</t>
  </si>
  <si>
    <t xml:space="preserve">CANAL 13 </t>
  </si>
  <si>
    <t>CARSO, SOCIEDAD ANÓNIMA</t>
  </si>
  <si>
    <t>DEPORTIVO, NOTICIOSO, ROMÁNTICA Y DE INTERES CULTURAL</t>
  </si>
  <si>
    <t>EN LOS DEPARTAMENTOS DE QUETZALTENANGO, ESCUINTLA, TOTONICAPÁN, SUCHITEPÉQUEZ, RETALHULEU Y SAN MARCOS</t>
  </si>
  <si>
    <t>Q 5.30</t>
  </si>
  <si>
    <t>A,B,C Y D</t>
  </si>
  <si>
    <t>Hombres y mujeres de 18 años en adelante</t>
  </si>
  <si>
    <t>TRECEVISION SOCIEDAD ANONIMA</t>
  </si>
  <si>
    <t>INFANTIL, PROGRAMA DE REVISTA Y NOTICIERO.</t>
  </si>
  <si>
    <t>RADIO STEREO 100</t>
  </si>
  <si>
    <t>Q 183.60</t>
  </si>
  <si>
    <t>A, B, C Y D.</t>
  </si>
  <si>
    <t>Hombres y Mujeres de 15 años en adelante. 
pero que también contemple a los más chicos de la casa por su programación infantil.</t>
  </si>
  <si>
    <t>CANAL TN23</t>
  </si>
  <si>
    <t>NOTICIOSO, INFORMATIVO, CULTURAL.</t>
  </si>
  <si>
    <t>Q 27.99</t>
  </si>
  <si>
    <t>A,B,C,D y E.</t>
  </si>
  <si>
    <t>MARÍA ELENA, CAMPOSECO MOLINA DE RALÓN</t>
  </si>
  <si>
    <t>NOTICIOSA</t>
  </si>
  <si>
    <t>EN LOS DEPARTAMENTOS DE QUETZALTENANGO, ESCUINTLA,RETALHULEU,SAN MARCOS,SUCHITEPÉQUEZ Y TOTONICAPÁN</t>
  </si>
  <si>
    <t>CANAL GUATEVISIÓN</t>
  </si>
  <si>
    <t>Q 5.06</t>
  </si>
  <si>
    <t>Radio 95.5 F.M. La Evolución De La Radio</t>
  </si>
  <si>
    <t>TVN, S.A.</t>
  </si>
  <si>
    <t>PROGRAMAS EN VIVO, SALUD, JUVENIL, CONCURSOS, HUMORÍSTICO, CULTURAL Y NOTICIOSO.</t>
  </si>
  <si>
    <t>JOSÉ ENRIQUE, RALÓN CRUZ</t>
  </si>
  <si>
    <t>MÚSICAL</t>
  </si>
  <si>
    <t>Q 20.80</t>
  </si>
  <si>
    <t>Q 3.94</t>
  </si>
  <si>
    <t>A, B y C.</t>
  </si>
  <si>
    <t>A, B, C+, C Y D</t>
  </si>
  <si>
    <t>Hombres y mujeres mayores de 18 años.</t>
  </si>
  <si>
    <t>CANAL TV AZTECA</t>
  </si>
  <si>
    <t>RADIO EXITOS 90.9 FM</t>
  </si>
  <si>
    <t>GRUPO RADIAL EL TAJIN, SOCIEDAD ANONIMA</t>
  </si>
  <si>
    <t>MÚSICA GRUPERA, RANCHERA, DURANGUENSE, BACHATA Y URBANA.</t>
  </si>
  <si>
    <t>EN LOS DEPARTAMENTOS DE GUATEMALA, SACATEPÉQUEZ, CHIMALTENANGO, SANTA ROSA, EL PROGRESO. FORMATO: MÚSICA GRUPERA, RANCHERA, DURANGUENSE, BACHATA Y URBANA.</t>
  </si>
  <si>
    <t xml:space="preserve">Q 11.70 </t>
  </si>
  <si>
    <t>Hombres y mujeres de 13 años en adelante</t>
  </si>
  <si>
    <t>RADIO TROPICALIDA 104.9 FM</t>
  </si>
  <si>
    <t>TVA GUATEMALA SOCIEDAD ANONIMA</t>
  </si>
  <si>
    <t>MEDIO NOTICIOSO, DE OPINIÓN Y ENTRETENIMIENTO.</t>
  </si>
  <si>
    <t>MÚSICA TROPICAL, SALSA, MERENGUE, POP, URBANA, EXITOS RETRO, 
BALADAS EN INGLES Y ESPAÑOL.</t>
  </si>
  <si>
    <t>GUATEMALA, SACATEPÉQUEZ, ALTA VERAPAZ, BAJA VERAPAZ, CHIQUIMULA, 
ESCUINTLA, IZABAL, QUETZALTENANGO, RETALHULEU, SUCHITEPEQUEZ Y ZACAPA.</t>
  </si>
  <si>
    <t>Q 10.41</t>
  </si>
  <si>
    <t>B, C y D.</t>
  </si>
  <si>
    <t>BAJO: 78.1%
ALTO: 21.9 %</t>
  </si>
  <si>
    <t>Hombres y mujeres de 20 a 40 años.</t>
  </si>
  <si>
    <t>MUJERES: 55.3 %
HOMBRES: 44.7 %</t>
  </si>
  <si>
    <t>CANAL GUATEMALA.COM</t>
  </si>
  <si>
    <t>Radio Mundial 98.5 FM</t>
  </si>
  <si>
    <t>FEDERICO EMILIO AZURDIA MARROQUÍN</t>
  </si>
  <si>
    <t>BALADAS EN INGLES Y ESPAÑOL.</t>
  </si>
  <si>
    <t>CIUDAD CAPITAL</t>
  </si>
  <si>
    <t>Q 5.98</t>
  </si>
  <si>
    <t>A, B, Y C</t>
  </si>
  <si>
    <t>Radio Los 40 Principales 93.3 fm</t>
  </si>
  <si>
    <t>MEDIA COMPANY SOCIEDAD ANONIMA</t>
  </si>
  <si>
    <t>PROGRAMAS EN VIVO, EDUCATIVO, CONCURSOS, TURÍSTICO, CULTURAL, CULINARIO, 
QUE SU PROGRAMACIÓN SEA 100% POSITIVA, SIN CONTENIDO NOTICIOSO NEGATIVO.</t>
  </si>
  <si>
    <t>Q 25.60</t>
  </si>
  <si>
    <t>BONIFICACIÓN DIGITAL</t>
  </si>
  <si>
    <t>Programas en vivo, educativo, concursos, turístico, cultural, culinario, que su programación sea 100%
positiva, sin contenido noticioso negativo.</t>
  </si>
  <si>
    <t>ENTRETENIMIENTO DE TELEVISIÓN Y RADIO, SOCIEDAD ANÓNIMA</t>
  </si>
  <si>
    <t xml:space="preserve"> MÚSICA ACTUAL EN ESPAÑOL E INGLÉS Y MÚSICA DE LOS 90´S EN LAS ÚLTIMAS TENDENCIAS</t>
  </si>
  <si>
    <t>GUATEMALA, CHIQUIMULA Y QUETZALTENANGO</t>
  </si>
  <si>
    <t>Q 12</t>
  </si>
  <si>
    <t xml:space="preserve">CANAL ANTIGUA </t>
  </si>
  <si>
    <t>A, B, C+. Y C, D.</t>
  </si>
  <si>
    <t>RADIO T.G.D. LA VOZ DE OCCIDENTE 1070 AM</t>
  </si>
  <si>
    <t>6485455-8</t>
  </si>
  <si>
    <t>CANAL ANTIGUA,SOCIEDAD ANONIMA</t>
  </si>
  <si>
    <t>NOTICIOSO</t>
  </si>
  <si>
    <t>Q 125.00</t>
  </si>
  <si>
    <t>A, B C+.</t>
  </si>
  <si>
    <t>Programación Noticiosa</t>
  </si>
  <si>
    <t>JOSE THEODORE YLLESCAS PERETIATKO</t>
  </si>
  <si>
    <t>MÚSICA DEL  RECUERDO Y BALADA ROMÁNTICA</t>
  </si>
  <si>
    <t>Totonicapán, Quiché, San Marcos, Sololá, Huehuetenango, Suchitepéquez y Retalhuleu</t>
  </si>
  <si>
    <t>Q 2.25</t>
  </si>
  <si>
    <t>B, C y D</t>
  </si>
  <si>
    <t>RADIO LA VOZ DE ATITLÁN 101,9 FM</t>
  </si>
  <si>
    <t>ASOCIACIÓN LA VOZ DE ATITLÁN</t>
  </si>
  <si>
    <t>MARIMBA CULTURAL</t>
  </si>
  <si>
    <t>departamento de Sololá, y parcialmente en los departamentos de Quetzaltenango, Suchitepéquez, Chimaltenango, Totonicapán y Escuintla. La Cobertura lingüística: Kaqchikel, Kiché’, Tz’utujil y Español</t>
  </si>
  <si>
    <t>A, B, C y D</t>
  </si>
  <si>
    <t xml:space="preserve"> RADIO SANTA CRUZ 106,5 FM,</t>
  </si>
  <si>
    <t>ASOCIACIÓN DE SERVICIOS EDUCATIVOS Y CULTURALES (A.S.E.C.)</t>
  </si>
  <si>
    <t>MÚSICAL MARIMBA</t>
  </si>
  <si>
    <t>Huehuetenango, Quiché y Petén</t>
  </si>
  <si>
    <t>Q 3.05</t>
  </si>
  <si>
    <t>C, D Y E</t>
  </si>
  <si>
    <t>RADIO CREATIVA 98.1 FM</t>
  </si>
  <si>
    <t>MÚSICAL RELIGIOSA</t>
  </si>
  <si>
    <t>Huehuetenango, San Marcos,
Totonicapán, Chimaltenango y
Quetzaltenango</t>
  </si>
  <si>
    <t>Q 3.25</t>
  </si>
  <si>
    <t xml:space="preserve">
(94 FM LA MARCA 94.1 FM)</t>
  </si>
  <si>
    <t>80% DE RITMOS Y FUSIONES URBANAS DE MODA, INCLUYENDO: REGGEATON, TRAL Y
MOMBATON, 20% DE GENEROS VARIADOS COMO LA BACHATA, REGIONAL MEXICANO, MERENGUE URBANO, 
POP JUVENIL, ELECTRONICAS Y CANCIONES DE TENDENCIA EN INGLES.</t>
  </si>
  <si>
    <t xml:space="preserve">GUATEMALA Y SACATEPEQUEZ
(en los municipios de guatemala, amatitlan, mixco y palencia del departamento de guatemala 
y en el departamento de sacatepequez). </t>
  </si>
  <si>
    <t xml:space="preserve">B, C, D  y E </t>
  </si>
  <si>
    <t>Hombres y mujeres de 13 a 29 años.</t>
  </si>
  <si>
    <t>RADIO SAYAXCHÉ 91.7 FM</t>
  </si>
  <si>
    <t>Sayaxché, Las Cruces, La Libertad,
San Francisco, El Chal,
yparcialmente comunidades del
resto de municipios de Petén</t>
  </si>
  <si>
    <t>RADIO SÓNICA 106,9 FM</t>
  </si>
  <si>
    <t>MÚSICAL BALADA POP Y CULTURAL EDUCATIVO</t>
  </si>
  <si>
    <t xml:space="preserve">GUATEMALA Y SACATEPEQUEZ
(Capital, Mixco, San Pedro, San Juan Sacatepéquez, Santa Catarina Pinula, San José Pinula, Fraijanes, Villa Nueva, Villa Canales, Amatitlán, San Miguel Petapa, Antigua Guatemala y Comunidades Cercanas). </t>
  </si>
  <si>
    <t>Q 4.75</t>
  </si>
  <si>
    <t>Hombres y mujeres de 25 años en adelante</t>
  </si>
  <si>
    <t>FM Maya, 99.1 fm</t>
  </si>
  <si>
    <t>DAVID ELIAS COLMENARES / LINARES CHOQUIN</t>
  </si>
  <si>
    <t>MÚSICA ROMÁNTICA</t>
  </si>
  <si>
    <t>Petén</t>
  </si>
  <si>
    <t>B, C, D y E</t>
  </si>
  <si>
    <t>Hombres y mujeres de 20 años en adelante.</t>
  </si>
  <si>
    <t>Radio Urbana, 89.5 fm</t>
  </si>
  <si>
    <t>FRANCISCA BEATRIZ LINARES CHOQUIN</t>
  </si>
  <si>
    <t>Género POP URBANO</t>
  </si>
  <si>
    <t>Escuintla</t>
  </si>
  <si>
    <t>Radio La Indomable, 105.5 FM</t>
  </si>
  <si>
    <t>Género Banda, regional Mexicano y Cumbia</t>
  </si>
  <si>
    <t>Costa Sur</t>
  </si>
  <si>
    <t>Radio Pegajosa, 92.7 fm</t>
  </si>
  <si>
    <t>Género Banda, regional Mexicano y Tropical variado</t>
  </si>
  <si>
    <t>Pto. Barrios-Izabal</t>
  </si>
  <si>
    <t>Radio Caribean, 105.1 fm</t>
  </si>
  <si>
    <t xml:space="preserve">Tropical   </t>
  </si>
  <si>
    <t>Stereo Bahía, 107.9 fm</t>
  </si>
  <si>
    <t>Tropical variado, Salsa, Banda, regional Mexicano y del recuerdo de los 80´s y 90´s.</t>
  </si>
  <si>
    <t>St. Verde, 93.9 fm</t>
  </si>
  <si>
    <t>Tropical variado, Banda, regional Mexicano y POP en español</t>
  </si>
  <si>
    <t>Alta y Baja Verapaz</t>
  </si>
  <si>
    <t>Radio Pura Candela, 91.3 fm</t>
  </si>
  <si>
    <t>Tropical variado, Salsa, Banda, regional Mexicano y POP en español</t>
  </si>
  <si>
    <t>Antigua Guatemala</t>
  </si>
  <si>
    <t>St. Mam, 96.1 fm</t>
  </si>
  <si>
    <t xml:space="preserve">Música variada en español e inglés, de los 80´s, 90´s y 2.0 mil </t>
  </si>
  <si>
    <t>Huehuetenango</t>
  </si>
  <si>
    <t>La Comadre, 105.3 fm</t>
  </si>
  <si>
    <t>La Democracia-Huehuetenango</t>
  </si>
  <si>
    <t>St. Laser, 96.7 fm</t>
  </si>
  <si>
    <t>COMUNICACIÓN LASER / LINARES CHOQUIN</t>
  </si>
  <si>
    <t>San Marcos-Ayutla</t>
  </si>
  <si>
    <t>Súper Occidente, 103.1 fm</t>
  </si>
  <si>
    <t>OTTONIEL OROZCO / LINARES CHOQUIN</t>
  </si>
  <si>
    <t>Quetzaltenango</t>
  </si>
  <si>
    <t>Súper, 93.5 fm</t>
  </si>
  <si>
    <t>Quiché</t>
  </si>
  <si>
    <t>Radio La Nueva, 104.9 fm</t>
  </si>
  <si>
    <t>Stereo Rio Grande 99.5 FM.</t>
  </si>
  <si>
    <t xml:space="preserve">MANUEL FERNANDO VARGAS PÁIZ	</t>
  </si>
  <si>
    <t>Musica grupera, tropical, romantica, deportes, programación diaria las 24 horas.</t>
  </si>
  <si>
    <t>Zacapa</t>
  </si>
  <si>
    <t>Radio Progresiva 104.7 FM.</t>
  </si>
  <si>
    <t>Musica juvenil, tropical, romantica, deportes, programación diaria las 24 horas.</t>
  </si>
  <si>
    <t>El Progreso</t>
  </si>
  <si>
    <t>PATRULLAJE INFORMATIVO</t>
  </si>
  <si>
    <t>EMISORAS UNIDAS DE GUATEMALA, S.A</t>
  </si>
  <si>
    <t>A, B, C Y D</t>
  </si>
  <si>
    <t>Población de hombres y mujeres de 20 años en adelante.</t>
  </si>
  <si>
    <t>YOSI SIDERAL 90.1 FM</t>
  </si>
  <si>
    <t>Música pop en español e Inglés y ritmos de moda actuales.</t>
  </si>
  <si>
    <t>Guatemala, Quetzaltenango, Escuintla, Santa Rosa, Chiquimula, Alta Verapaz y Petén.</t>
  </si>
  <si>
    <t>EMISORAS UNIDAS 89.7 FM</t>
  </si>
  <si>
    <t>A PRIMERA HORA</t>
  </si>
  <si>
    <t>Noticioso y programa de debate</t>
  </si>
  <si>
    <t>NUEVA FABUESTÉREO 88.1 FM</t>
  </si>
  <si>
    <t xml:space="preserve">Éxitos en español de los 80, 90 y 2000.
</t>
  </si>
  <si>
    <t xml:space="preserve">Departamentos de Guatemala, Sacatepéquez y Quetzaltenango.
</t>
  </si>
  <si>
    <t>EL COMPADRITO MADRUGADOR</t>
  </si>
  <si>
    <t>RADIO LA RED 106.1 FM</t>
  </si>
  <si>
    <t>4319813-9</t>
  </si>
  <si>
    <t>RCN, SOCIEDAD ANONIMA</t>
  </si>
  <si>
    <t>Noticias y Deportes</t>
  </si>
  <si>
    <t xml:space="preserve"> Guatemala, Sacatepéquez, Santa Rosa, Huehuetenango, Quiché y Petén.</t>
  </si>
  <si>
    <t>B y C</t>
  </si>
  <si>
    <t>Hombres y mujeres de 25 a 34 años</t>
  </si>
  <si>
    <t>RADIO CLÁSICA 102.5 FM</t>
  </si>
  <si>
    <t xml:space="preserve">Música en inglés de los 90´s a 2015  </t>
  </si>
  <si>
    <t>Hombres y mujeres de 25 a 50 años</t>
  </si>
  <si>
    <t>RADIO MIA 93.7 FM</t>
  </si>
  <si>
    <t xml:space="preserve"> Música en español 90´s a la actualidad </t>
  </si>
  <si>
    <t xml:space="preserve">Departamento de Guatemala </t>
  </si>
  <si>
    <t>Hombres y mujeres de 18 a 30 años</t>
  </si>
  <si>
    <t>RADIO 949 FM</t>
  </si>
  <si>
    <t>Música en ingles actual, top 40</t>
  </si>
  <si>
    <t>A, B y C</t>
  </si>
  <si>
    <t>Hombres y mujeres de 18 a 25 años</t>
  </si>
  <si>
    <t>Globo Norte 97.5 FM</t>
  </si>
  <si>
    <t>INVERSIONES ALSO, SOCIEDAD ANONIMA</t>
  </si>
  <si>
    <t>Música en español de 70’s en adelante</t>
  </si>
  <si>
    <t>Departamentos de Alta Verapaz y Baja Verapaz</t>
  </si>
  <si>
    <t>C y D</t>
  </si>
  <si>
    <t>Hombres y mujeres de 35 a 44 años</t>
  </si>
  <si>
    <t>Globo 989</t>
  </si>
  <si>
    <t>Departamentos de Guatemala y Sacatepéquez</t>
  </si>
  <si>
    <t>Globo Sur 105.9 FM</t>
  </si>
  <si>
    <t>Departamentos de Escuintla</t>
  </si>
  <si>
    <t xml:space="preserve"> Globo Antigua 98.9 FM</t>
  </si>
  <si>
    <t xml:space="preserve">Departamento de Sacatepéquez
</t>
  </si>
  <si>
    <t>Globo Occidente 95.9 FM</t>
  </si>
  <si>
    <t>Departamentos de Quetzaltenango y Totonicapán</t>
  </si>
  <si>
    <t>Globo Oriente 94.7 FM</t>
  </si>
  <si>
    <t xml:space="preserve">Departamentos de Chiquimula y Zacapa.
</t>
  </si>
  <si>
    <t>Globo Petén 106.5 FM</t>
  </si>
  <si>
    <t>Departamento de Petén</t>
  </si>
  <si>
    <t>RADIO ESTEREO VERASUR 102.7 FM</t>
  </si>
  <si>
    <t>JULIO CESAR ISHLAJ ALVARADO</t>
  </si>
  <si>
    <t xml:space="preserve">MUSICAL  </t>
  </si>
  <si>
    <t>DEPARTAMENTO DE BAJA VERAPAZ</t>
  </si>
  <si>
    <t>Población de 18 años en adelante</t>
  </si>
  <si>
    <t>RADIO CARACOL 105.1 FM</t>
  </si>
  <si>
    <t>672457-4</t>
  </si>
  <si>
    <t>JAVIER ADIBAN GARCIA VASQUEZ</t>
  </si>
  <si>
    <t>MUSICAL Y DEPORTIVO</t>
  </si>
  <si>
    <t>DEPARTAMENTO DE QUICHÉ</t>
  </si>
  <si>
    <t>RADIO ESTRELLA 89.3 FM</t>
  </si>
  <si>
    <t>RADIO ISTMANIA, S.A</t>
  </si>
  <si>
    <t xml:space="preserve">Cultural-Religioso </t>
  </si>
  <si>
    <t>Departamentos de Guatemala  y Sacatepéquez</t>
  </si>
  <si>
    <t>PRECIO</t>
  </si>
  <si>
    <t>La Tronadora 104.1 FM</t>
  </si>
  <si>
    <t>AUDIOMEDIOS, S.A</t>
  </si>
  <si>
    <t>Regional mexicano (banda, grupero ranchero, norteño) urbano, cumbia grupera y balada popular.</t>
  </si>
  <si>
    <t>Población de hombres y mujeres de 18 años en adelante.</t>
  </si>
  <si>
    <t>RADIO LA MEGA 107.7 FM</t>
  </si>
  <si>
    <t>8245460-4</t>
  </si>
  <si>
    <t>5 INFINITO Y MAS, SOCIEDAD ANONIMA</t>
  </si>
  <si>
    <t xml:space="preserve">Música inglés y español del 2005 a la actualidad.
</t>
  </si>
  <si>
    <t>Cadena Radio Punto 90.5 fm</t>
  </si>
  <si>
    <t>NOTIGRUPO, S.A.</t>
  </si>
  <si>
    <t xml:space="preserve"> noticiosa, deportiva y temas de interés humano</t>
  </si>
  <si>
    <t>Deptos. Guatemala, Sacatepéquez, Chimaltenango, Petén, Zacapa, Chiquimula y Escuintla.</t>
  </si>
  <si>
    <t>Población de 20 años en adelante</t>
  </si>
  <si>
    <t>Kebuena Capital 91.3 fm</t>
  </si>
  <si>
    <t>ORGANIZACIÓN RADIAL ALIUS, S.A.</t>
  </si>
  <si>
    <t xml:space="preserve"> musical popular.</t>
  </si>
  <si>
    <t xml:space="preserve">DEPARTAMENTO DE GUATEMALA </t>
  </si>
  <si>
    <t>Radio Perla de Oriente 99.1 fm</t>
  </si>
  <si>
    <t>Depto. Chiquimula Depto. Zacapa Depto. Izabal</t>
  </si>
  <si>
    <t>Radio Novedad 98.3 fm</t>
  </si>
  <si>
    <t>Radio Corona 107.1 fm</t>
  </si>
  <si>
    <t>Radio Rosa 95.1 fm</t>
  </si>
  <si>
    <t>Depto. Santa Rosa Depto. Jutiapa</t>
  </si>
  <si>
    <t>Kebuena Jutiapa 93.1 fm</t>
  </si>
  <si>
    <t>Radio Stereo Mar 97.9 fm</t>
  </si>
  <si>
    <t>Depto. Izabal</t>
  </si>
  <si>
    <t>Radio Cañonera 105.1 fm</t>
  </si>
  <si>
    <t>Alcance</t>
  </si>
  <si>
    <t>Depto. Escuintla</t>
  </si>
  <si>
    <t>Radio Kebuena Costa Sur 89.1 fm</t>
  </si>
  <si>
    <t>Guatevisión</t>
  </si>
  <si>
    <t>Deptos. Suchitepéquez y Retalhuleu</t>
  </si>
  <si>
    <t>Radio Kebuena Quiche 103.5 fm</t>
  </si>
  <si>
    <t>Depto. Quiché</t>
  </si>
  <si>
    <t>Radio Kebuena Huehuetenango 88.9 fm</t>
  </si>
  <si>
    <t>Depto. Huehuetenango</t>
  </si>
  <si>
    <t>Radio Kebuena San Marcos 96.7 fm</t>
  </si>
  <si>
    <t>Depto. San Marcos</t>
  </si>
  <si>
    <t>Radio Kebuena Occidente 95.1 fm</t>
  </si>
  <si>
    <t>Deptos. Quetzaltenango y Totonicapán</t>
  </si>
  <si>
    <t>Radio Exa Capita 101.7 fm</t>
  </si>
  <si>
    <t>musical popular y pop</t>
  </si>
  <si>
    <t>Deptos. Guatemala y Sacatepéquez</t>
  </si>
  <si>
    <t>RADIO COSTEÑA 103.9 FM</t>
  </si>
  <si>
    <t>2651625K</t>
  </si>
  <si>
    <t>LA SABROSONA S.A.</t>
  </si>
  <si>
    <t>Musical con música grupera con éxitos del pasito duranguense</t>
  </si>
  <si>
    <t>SUCHITEPÉQUEZ</t>
  </si>
  <si>
    <t>RADIO ESTÉREO ITZÁ 94.9 FM</t>
  </si>
  <si>
    <t>Musical, música grupera con éxitos de pasito duranguense</t>
  </si>
  <si>
    <t>PETÉN</t>
  </si>
  <si>
    <t>RADIO LA QUERIDA 101.9 FM</t>
  </si>
  <si>
    <t>Musical grupera con éxito de pasito duranguense</t>
  </si>
  <si>
    <t>ESCUINTLA</t>
  </si>
  <si>
    <t>RADIO LA SEÑORA 88.3 FM</t>
  </si>
  <si>
    <t>Música grupera con éxitos de pasito duranguense</t>
  </si>
  <si>
    <t>QUICHÉ</t>
  </si>
  <si>
    <t>RADIO LA BURBUJA 94.5 FM</t>
  </si>
  <si>
    <t>HUEHUETENANGO</t>
  </si>
  <si>
    <t>RADIO ESTEREO MARQUENSE 93.1 FM</t>
  </si>
  <si>
    <t>ESTÉREO MARQUENSE SOCIEDAD ANÓNIMA</t>
  </si>
  <si>
    <t>Musical, música grupera con exitos de pasito duranguense</t>
  </si>
  <si>
    <t>SAN MARCOS</t>
  </si>
  <si>
    <t>RADIO PANTERA 99.1 FM</t>
  </si>
  <si>
    <t>Musical de reggaeton, éxitos actuales y del recuerdo tropical.</t>
  </si>
  <si>
    <t>ALTA VERAPAZ</t>
  </si>
  <si>
    <t>RADIO LA CALIENTE 97.1 FM</t>
  </si>
  <si>
    <t>Musical de reggaeton, exitos actuales y del recuerdo tropical</t>
  </si>
  <si>
    <t>IZABAL</t>
  </si>
  <si>
    <t>RADIO LA GOLONDRINA 94.3 FM</t>
  </si>
  <si>
    <t>RADIO LA TESORITO 92.7 FM</t>
  </si>
  <si>
    <t>Musical, noticioso</t>
  </si>
  <si>
    <t>QUETZALTENANGO, TOTONICAPÁN, QUICHÉ, SOLOLÁ, RETALHULEU, SUCHITEPÉQUEZ</t>
  </si>
  <si>
    <t>RADIO LA SABROSONA 94.5 FM</t>
  </si>
  <si>
    <t>Musical y noticioso</t>
  </si>
  <si>
    <t>RADIO LA CALIENTE 102.9 FM</t>
  </si>
  <si>
    <t>LA CALIENTE, S.A.</t>
  </si>
  <si>
    <t>Éxitos pop en inglés y español, reguetón y mezclas con DJ en vivo.</t>
  </si>
  <si>
    <t>RADIO XOCOMIL 105.5 FM</t>
  </si>
  <si>
    <t>PUBLICITARIA RADIOFONICA DULCE, S.A.</t>
  </si>
  <si>
    <t>musical de reguetón, éxitos actuales y del recuerdo tropical</t>
  </si>
  <si>
    <t>Sololá</t>
  </si>
  <si>
    <t>Más música 92.5 FM</t>
  </si>
  <si>
    <t>RADIO PUBLICITARIA DE JALAPA, S.A.</t>
  </si>
  <si>
    <t>Música juvenil en inglés</t>
  </si>
  <si>
    <t>Departamento de Guatemala</t>
  </si>
  <si>
    <t>Más Música 104.7 FM</t>
  </si>
  <si>
    <t>Musical</t>
  </si>
  <si>
    <t>Departamento de Escuintla</t>
  </si>
  <si>
    <t>RADIO REU STEREO 96.7FM</t>
  </si>
  <si>
    <t>RETALHULEU</t>
  </si>
  <si>
    <t>Con Criterio, 89.7 FM, programa matutino</t>
  </si>
  <si>
    <t>CONCRITERIO, SOCIEDAD ANONIMA</t>
  </si>
  <si>
    <t>OPINIÓN, DEBATE, COYUNTURA Y ENTREVISTAS.</t>
  </si>
  <si>
    <t>Ciudad de Guatemala.</t>
  </si>
  <si>
    <t>A, B Y C.</t>
  </si>
  <si>
    <t>60% HOMBRES Y 40% MUJERES CON EDADES DE 25 A 60 AÑOS.</t>
  </si>
  <si>
    <t>CABLE</t>
  </si>
  <si>
    <t>Programa Calle 989, Globo 18:00 a 21:00 hrs. jueves</t>
  </si>
  <si>
    <t>8745623-0</t>
  </si>
  <si>
    <t>AG MEDIA, S.A.</t>
  </si>
  <si>
    <t>Música Trova</t>
  </si>
  <si>
    <t>Q.22.5 Paquete</t>
  </si>
  <si>
    <t>menciones</t>
  </si>
  <si>
    <t>60% MUJERES Y 40% HOMBRES CON EDADES DE 35 A 44 AÑOS</t>
  </si>
  <si>
    <t>Radio</t>
  </si>
  <si>
    <t>CANAL / NO.</t>
  </si>
  <si>
    <t>PROGRAMACIÓN</t>
  </si>
  <si>
    <t>ALCANCE</t>
  </si>
  <si>
    <t>BONIFICACIÓN</t>
  </si>
  <si>
    <t>Media Plan</t>
  </si>
  <si>
    <t>MEDIA PLAN, S.A.</t>
  </si>
  <si>
    <t>Emisoras Unidas</t>
  </si>
  <si>
    <t xml:space="preserve">Maxicable/Canal 21  </t>
  </si>
  <si>
    <t>Noticiosa, deportiva y entretenimiento.</t>
  </si>
  <si>
    <t xml:space="preserve">Petén </t>
  </si>
  <si>
    <t>30% DE BONIFICACIÓN EN COMPRAS DIRECTAS</t>
  </si>
  <si>
    <t xml:space="preserve"> A, B, C y D.</t>
  </si>
  <si>
    <t>Hombres y mujeres mayores de 18 afios.</t>
  </si>
  <si>
    <t>Intercable Petén/Canal 40</t>
  </si>
  <si>
    <t xml:space="preserve">Intercable Alta Verapaz/ Canal 42 </t>
  </si>
  <si>
    <t>Alta Verapaz</t>
  </si>
  <si>
    <t xml:space="preserve">  Más TV Alta Verapaz/Canal 16</t>
  </si>
  <si>
    <t xml:space="preserve">Alta Verapaz </t>
  </si>
  <si>
    <t>Star TV/Canal 9</t>
  </si>
  <si>
    <t xml:space="preserve">Baja Verapaz </t>
  </si>
  <si>
    <t>Intercable Baja Verapaz/Canal 16</t>
  </si>
  <si>
    <t>Cablevisión del Norte/Canal 9</t>
  </si>
  <si>
    <t xml:space="preserve">Izabal </t>
  </si>
  <si>
    <t>Intercable Izabal/Canal 40</t>
  </si>
  <si>
    <t>Suchi TV/Canal 14</t>
  </si>
  <si>
    <t xml:space="preserve">Suchitepéquez </t>
  </si>
  <si>
    <t xml:space="preserve">Intercom Suchitepéquez/Canal 16 </t>
  </si>
  <si>
    <t>Intercom Escuintla/Canal 40</t>
  </si>
  <si>
    <t xml:space="preserve">Escuintla </t>
  </si>
  <si>
    <t xml:space="preserve">Tele Sur/Canal 5 </t>
  </si>
  <si>
    <t>Intercable Quiché/Canal 16</t>
  </si>
  <si>
    <t xml:space="preserve">Quiché </t>
  </si>
  <si>
    <t xml:space="preserve">Unicable Chichi/Canal 4 </t>
  </si>
  <si>
    <t xml:space="preserve">Mega Canal/Canal 17 </t>
  </si>
  <si>
    <t>Retalhuleu</t>
  </si>
  <si>
    <t xml:space="preserve"> Intercable Retalhuleu/Canal 16 </t>
  </si>
  <si>
    <t xml:space="preserve"> Tele Arte/Canal 5 </t>
  </si>
  <si>
    <t xml:space="preserve">Intercable Huehuetenango/Canal 40 </t>
  </si>
  <si>
    <t>Tele Cable/Canal 9</t>
  </si>
  <si>
    <t xml:space="preserve"> Intercable Quetzaltenango/Canal 40</t>
  </si>
  <si>
    <t>INTERNACOM</t>
  </si>
  <si>
    <t>DISTRIBUIDORA INTERNACIONAL DE COMUNICACIONES SOCIEDAD ANONIMA</t>
  </si>
  <si>
    <t>CANAL REGIÓN MÁS 43 ANALOGO / 10 DIGITAL</t>
  </si>
  <si>
    <t>NOTICIAS Y DEPORTES</t>
  </si>
  <si>
    <t>QUETZALTENANGO, TOTONICAPAN, QUICHE, SUCHITEPEQUEZ, RETALHULEU, HUEHUETENANGO Y SAN MARCOS</t>
  </si>
  <si>
    <t>A, B, C, D y E</t>
  </si>
  <si>
    <t>Hombres y mujeres de 18 a 55 años</t>
  </si>
  <si>
    <t xml:space="preserve">Nuevo Mundo Televisión </t>
  </si>
  <si>
    <t>ESTÉREO MARQUENSE S.A</t>
  </si>
  <si>
    <t>Nuevo Mundo Televisión Canal 29</t>
  </si>
  <si>
    <t>Noticioso, de opinión, entretenimiento y cultural</t>
  </si>
  <si>
    <t>CIUDAD DE GUATEMALA</t>
  </si>
  <si>
    <t xml:space="preserve"> A, B, C y D</t>
  </si>
  <si>
    <t>CE MEDIA GUATEMALA, S.A.</t>
  </si>
  <si>
    <t>CANAL TL NOVELAS</t>
  </si>
  <si>
    <t>NOVELAS</t>
  </si>
  <si>
    <t>NACIONAL</t>
  </si>
  <si>
    <t>Hombres y mujeres mayores de 18 años en adelante</t>
  </si>
  <si>
    <t>CANAL HISTORY</t>
  </si>
  <si>
    <t>DOCUMENTAL</t>
  </si>
  <si>
    <t>CANAL DE LAS ESTRELLAS</t>
  </si>
  <si>
    <t>CANAL A&amp;E</t>
  </si>
  <si>
    <t>DOCUMENTAL, SERIES Y PELÍCULAS</t>
  </si>
  <si>
    <t>CLARO TV</t>
  </si>
  <si>
    <t>MONICA MARGARITA , GARCÍA LÓPEZ / ESTRATEDIA</t>
  </si>
  <si>
    <t>TNT -54-</t>
  </si>
  <si>
    <t>ENTRETENIMIENTO</t>
  </si>
  <si>
    <t>AXN -10-</t>
  </si>
  <si>
    <t>WARNER CHANNEL -12-</t>
  </si>
  <si>
    <t>NEGOCIOS Y SERVICIOS PUBLICITARIOS</t>
  </si>
  <si>
    <t>NEGOCIOS Y SERVICIOS RM SOCIEDAD ANONIMA</t>
  </si>
  <si>
    <t>MAYACABLE QUICHÉ, 19</t>
  </si>
  <si>
    <t>B, C, D Y E</t>
  </si>
  <si>
    <t>CABLEVISIÓN TURANSA, 2</t>
  </si>
  <si>
    <t>UNICABLE CHICHI, 4</t>
  </si>
  <si>
    <t>CABLEVISIÓN IXCÁN, 24</t>
  </si>
  <si>
    <t>KNAL 4 MAYACABLE, 4</t>
  </si>
  <si>
    <t>CABLEVISIÓN TONIN, 5</t>
  </si>
  <si>
    <t>TELE ARTE, 5</t>
  </si>
  <si>
    <t>CABLE TV CAMOJÁ, 12</t>
  </si>
  <si>
    <t>SOLOMA VISIÓN, 4</t>
  </si>
  <si>
    <t>BARIVISIÓN, 12</t>
  </si>
  <si>
    <t>CABLE GARDENIAS, 5</t>
  </si>
  <si>
    <t>Quetzaltenángo</t>
  </si>
  <si>
    <t>TELECABLE, 9</t>
  </si>
  <si>
    <t>COATEVISIÓN, 9</t>
  </si>
  <si>
    <t>QUETZALTENANGO</t>
  </si>
  <si>
    <t>CABLEVISIÓN SOLOLÁ, 5</t>
  </si>
  <si>
    <t>SOLOLÁ</t>
  </si>
  <si>
    <t>CABLE STA. CLARA</t>
  </si>
  <si>
    <t>INTERCABLE SN. LUCAS TOLIMÁN, 9</t>
  </si>
  <si>
    <t>PANDISH, 6</t>
  </si>
  <si>
    <t xml:space="preserve">SISTECOM, </t>
  </si>
  <si>
    <t>NAVISATÉLITE, 2</t>
  </si>
  <si>
    <t>SUPER CABLE NAHUALÁ</t>
  </si>
  <si>
    <t>CABLEVISIÓN ORO REY, 4</t>
  </si>
  <si>
    <t>SAN MARCO</t>
  </si>
  <si>
    <t>CANAL 22 CABLE Y UHF</t>
  </si>
  <si>
    <t>TELECOSTA MALACATÁN, 30</t>
  </si>
  <si>
    <t>CABLENET, 50</t>
  </si>
  <si>
    <t>PUBLIMA CANAL 14</t>
  </si>
  <si>
    <t>SUR TV CANAL 30</t>
  </si>
  <si>
    <t>CABLE SAN FRANCISCO, 12</t>
  </si>
  <si>
    <t>PREFIERO TV, 12</t>
  </si>
  <si>
    <t>INTERCABLE, 20</t>
  </si>
  <si>
    <t>Totovisión, 10</t>
  </si>
  <si>
    <t>Noticiero</t>
  </si>
  <si>
    <t>Totonicapán</t>
  </si>
  <si>
    <t>Canal Red 25, 25</t>
  </si>
  <si>
    <t>Tecnicable, 5</t>
  </si>
  <si>
    <t>Momovisión, 4</t>
  </si>
  <si>
    <t>Yepocapa, 35</t>
  </si>
  <si>
    <t>Chimaltenango</t>
  </si>
  <si>
    <t xml:space="preserve">Cable Yes Tecpán, </t>
  </si>
  <si>
    <t>San Martín, 9</t>
  </si>
  <si>
    <t>Full Channel, 99</t>
  </si>
  <si>
    <t>Sacatepéquez</t>
  </si>
  <si>
    <t>Teleplus, 95</t>
  </si>
  <si>
    <t>Kasma</t>
  </si>
  <si>
    <t>Entretenimiento</t>
  </si>
  <si>
    <t>Telepalín, 5</t>
  </si>
  <si>
    <t>Telemaya, 35</t>
  </si>
  <si>
    <t>Telecosta, 33</t>
  </si>
  <si>
    <t>Galaxy Visión, 12</t>
  </si>
  <si>
    <t>Canal 10 Tiquisate, 10</t>
  </si>
  <si>
    <t>Gomerano, 15</t>
  </si>
  <si>
    <t>Cablevisión La Nueva, 14</t>
  </si>
  <si>
    <t>Cable San José, 15</t>
  </si>
  <si>
    <t>Cablenet, 16</t>
  </si>
  <si>
    <t>Guatemala</t>
  </si>
  <si>
    <t>Servicable, 41</t>
  </si>
  <si>
    <t>Pinula Visión, 42</t>
  </si>
  <si>
    <t>Intercom, 16</t>
  </si>
  <si>
    <t>TV Cable Universal, 5</t>
  </si>
  <si>
    <t>Jalapa</t>
  </si>
  <si>
    <t>Pinula Red, 5</t>
  </si>
  <si>
    <t>Innova TV, 22</t>
  </si>
  <si>
    <t>Alfa TV, 45</t>
  </si>
  <si>
    <t>Publinet, 9</t>
  </si>
  <si>
    <t>Jutiapa</t>
  </si>
  <si>
    <t>Cable Yes, 2</t>
  </si>
  <si>
    <t>Publinet, 84</t>
  </si>
  <si>
    <t>Nesercasa, 17</t>
  </si>
  <si>
    <t>Cable Club Sta. Rosa, 8</t>
  </si>
  <si>
    <t>Noticero</t>
  </si>
  <si>
    <t>Santa Rosa</t>
  </si>
  <si>
    <t>Multivisión Chiquimula, 3</t>
  </si>
  <si>
    <t>TV Progreso, 15</t>
  </si>
  <si>
    <t>Mulstivisión Cuilapa, 6</t>
  </si>
  <si>
    <t>Barbecable. 9</t>
  </si>
  <si>
    <t>Cable Minerva</t>
  </si>
  <si>
    <t>Corporación Estabia, 13</t>
  </si>
  <si>
    <t>Chiquimula</t>
  </si>
  <si>
    <t>Nuevo Amanecer, 10</t>
  </si>
  <si>
    <t>Fácil, 5</t>
  </si>
  <si>
    <t>Esquipulas TV, 33</t>
  </si>
  <si>
    <t>Ipala Visión, 2</t>
  </si>
  <si>
    <t>G&amp;G, 24</t>
  </si>
  <si>
    <t>Telecom, 12</t>
  </si>
  <si>
    <t>Cablevisión Robles, 9</t>
  </si>
  <si>
    <t xml:space="preserve">Cable Visión Izabal, </t>
  </si>
  <si>
    <t xml:space="preserve">Noticiero </t>
  </si>
  <si>
    <t>Cable Medina, 12</t>
  </si>
  <si>
    <t>Cable Visión del Norte, 9</t>
  </si>
  <si>
    <t>Mas TV, 42</t>
  </si>
  <si>
    <t>Alta Verapáz</t>
  </si>
  <si>
    <t>Verapáz TV, 6</t>
  </si>
  <si>
    <t>Telefray, 4</t>
  </si>
  <si>
    <t xml:space="preserve">Star TV, </t>
  </si>
  <si>
    <t>Marivisión, 2</t>
  </si>
  <si>
    <t>Gpo. Maxicable, 21</t>
  </si>
  <si>
    <t>Star Plus, 12</t>
  </si>
  <si>
    <t>Cable Porty, 72</t>
  </si>
  <si>
    <t>EXTERIORES</t>
  </si>
  <si>
    <t>MEDIO</t>
  </si>
  <si>
    <t>MEDIDA</t>
  </si>
  <si>
    <t>UBICACIÓN / VIALIDAD</t>
  </si>
  <si>
    <t>ALCANCE PROMEDIO</t>
  </si>
  <si>
    <t>COSTO X CATORCENA CON IMPS.</t>
  </si>
  <si>
    <t>SMART VISION</t>
  </si>
  <si>
    <t>GRADS, SOCIEDAD ANONIMA</t>
  </si>
  <si>
    <t>VALLA PUBLICITARIA</t>
  </si>
  <si>
    <t>6 metros horizontales x 3 metros verticales y 9 metros horizontales x 12 metros verticales.</t>
  </si>
  <si>
    <t>NACIONAL/ EN AVENIDAS, CALZADAS Y/O CARRETERAS DEPARTAMENTALES Y MUNICIPIOS.</t>
  </si>
  <si>
    <t>200,000 vehículos diarios</t>
  </si>
  <si>
    <t>KR GRAPHIX</t>
  </si>
  <si>
    <t>KR GRAPHIX SOCIENDAD ANONIMA</t>
  </si>
  <si>
    <t>PANTALLA DIGITAL MÓVIL</t>
  </si>
  <si>
    <t>1800 píxeles horizontales x 900 píxeles verticales</t>
  </si>
  <si>
    <t>195,000 vehículos diarios</t>
  </si>
  <si>
    <t>GPO VALLAS</t>
  </si>
  <si>
    <t>VALLAS Y GIGANTOGRAFIAS DE GUATEMALA SOCIEDAD ANONIMA</t>
  </si>
  <si>
    <t>VALLA PERIMETRAL PUBLICITARIA</t>
  </si>
  <si>
    <t>4.50 X 2.10 MTS (OPCION A CREAR POR MODULOS LOS DISTINTOS TAMAÑOS)</t>
  </si>
  <si>
    <t>NACIONAL/ EN AVENIDAS, CALZADAS Y/O CARRETERAS  EN EL DEPARTAMENTO DE GUATEMALA Y  SUS MUNICIPIOS.</t>
  </si>
  <si>
    <t>10 MODULOS</t>
  </si>
  <si>
    <t>EL CURCAY, S.A.</t>
  </si>
  <si>
    <t>EL CURCAY SOCIEDAD ANONIMA</t>
  </si>
  <si>
    <t xml:space="preserve">VALLA PUBLICITARIA </t>
  </si>
  <si>
    <t xml:space="preserve"> 6 metros horizontales x 3 metros verticales, 10 metros horizontales X 3 metros verticales, 9 metros    horizontales x 12 metros verticales, 15 metros horizontales x 6 metros verticales y de 12 metros horizontales x 5 metros verticales</t>
  </si>
  <si>
    <t xml:space="preserve">190,000 vehículos diarios </t>
  </si>
  <si>
    <t>MEGA VALLAS</t>
  </si>
  <si>
    <t>MEGA IMPACTO, SOCIEDAD ANONIMA</t>
  </si>
  <si>
    <t>PUBLIKANDO</t>
  </si>
  <si>
    <t>PUBLIANUNCIOS</t>
  </si>
  <si>
    <t>PUBLIANUNCIOS SOCIEDAD ANONIMA</t>
  </si>
  <si>
    <t>MUPIS IMPRESOS</t>
  </si>
  <si>
    <t xml:space="preserve">116 centímetros horizontales x 171 centímetros verticales cartel departamento Guatemala 
97 centímetros horizontales x 180 centímetros verticales cartel departamental 
</t>
  </si>
  <si>
    <t>90,000 vehículos diarios</t>
  </si>
  <si>
    <t>GRUPO PUBLIMOVIL</t>
  </si>
  <si>
    <t>YEYO SOCIEDAD ANONIMA</t>
  </si>
  <si>
    <t>PANTALLAS DIGITALES</t>
  </si>
  <si>
    <t>1200 píxeles horizontales x 240 píxeles verticales
1728 píxeles horizontales x 288 píxeles verticales
1440 píxeles horizontales x 288 píxeles verticales
 840 píxeles horizontales x 240 píxeles verticales
1008 píxeles horizontales x 288 píxeles verticales
720 píxeles horizontales x 144 píxeles verticales</t>
  </si>
  <si>
    <t>NACIONAL/ EN AVENIDAS, CALZADAS Y/O CARRETERAS EN CIUDAD DE GUATEMALA</t>
  </si>
  <si>
    <t>MIX MEDIA</t>
  </si>
  <si>
    <t>VALLA MÓVIL PUBLICITARIA (TRASERA DE BUS URBANO)</t>
  </si>
  <si>
    <t>2.50 metros horizontales x 2.50 metros verticales</t>
  </si>
  <si>
    <t>EN AVENIDAS, CALZADAS Y/O CARRETERAS CON ALTO TRÁFICO VEHICULAR EN EL DEPARTAMENTO DE GUATEMALA</t>
  </si>
  <si>
    <t>300,000 vehículos diarios</t>
  </si>
  <si>
    <t>PIXELATE</t>
  </si>
  <si>
    <t>PIXELATE , SOCIEDAD ANÓNIMA</t>
  </si>
  <si>
    <t>4320 píxeles horizontales x 720 píxeles verticales, 3600 píxeles horizontales x 720 píxeles verticales, 3120 pixeles horizontales x 720 píxeles verticales y 2640 píxeles horizontales x 720 píxles verticales.</t>
  </si>
  <si>
    <t>En avenidas, calzadas y/o carreteras con alto tráfico vehicular, en la ciudad de Guatemala</t>
  </si>
  <si>
    <t>600,000 vehículos diarios</t>
  </si>
  <si>
    <t>47.24 X 96.62 pulgadas.</t>
  </si>
  <si>
    <t xml:space="preserve">EN XELA: 4 CALLE COMPLEJO DEPORTIVO, 4 CALLE FRENTE AL COMPLEJO DEPORTIVO, 4 CALLE PARQUE ISRAEL, 14 AVENIDA RESTAURANTE TERTULIANOS, 15 AVENIDA QUICK PHOTO, 17 AVENIDA CLINICA CARDIOLOGICA, 18 AVENIDA CC MONTBLANC, 19 AVENIDA INTERCULTURAL, AVENIDA LAS AMERICAS UNIVERSIDAD DE SAN CARLOS, O CALLE INSTITUTO TECNICO INDUSTRIAL, CC PASEO LAS AMÉRICAS BANRURAL 2, CC PASEO LAS AMERICAS ENTRADA, CC PASEO LAS AMÉRICAS INTERBANCO Y CC PASEO LAS AMÉRICAS ROTONDA SUBWAY. 22 AVENIDA RODOLFO ROBLES. EN COATEPEQUE: CAMPERO CC LA TRINIDAD COATEPEQUE Y CARWASH SAN ANTONIO COATEPEQUE. EN RETALHULEU: CHICHARRONERA PACAX, COMPLEJO DEPORTIVO, FRENTE A CONDOMINIO DOÑA GLORIA Y HOSPITAL NACIONAL
</t>
  </si>
  <si>
    <t>200,000 vehículos diarios en promedio</t>
  </si>
  <si>
    <t>COLOR MEDIA</t>
  </si>
  <si>
    <t>4 P MEDIA, SOCIEDAD ANONIMA</t>
  </si>
  <si>
    <t xml:space="preserve">1280 píxeles horizontales x 720 píxeles verticales,
1040 píxeles horizontales x 320 píxeles verticales,
720 píxeles horizontales x 576 píxeles verticales,
770 píxeles horizontales x 580 píxeles verticales,
415 píxeles horizontales x 830 píxeles verticales,
340 píxeles horizontales x 425 píxeles verticales,
1280 píxeles horizontales x 630 píxeles verticales,
500 píxeles horizontales x 500 pixeles verticales.
</t>
  </si>
  <si>
    <t>en los departamentos de Guatemala, San Marcos, Alta Verapaz, Totonicapán, Huehuetenango y Quetzaltenango.</t>
  </si>
  <si>
    <t>250,000 vehículos diarios en promedio</t>
  </si>
  <si>
    <t>Entertainment Networks</t>
  </si>
  <si>
    <t xml:space="preserve"> 4 metros de altura x 2.50 metros de ancho, 5 metros de altura x 10 metros de ancho, 2.50 metros de altura x 3.50 metros de ancho, 3.50 metros de altura x 2.50 metros de ancho, 2 metros altura x 3.50 metros ancho y 2 metros de altura x 3 metros de ancho. </t>
  </si>
  <si>
    <t>32,000 personas diarias en promedio</t>
  </si>
  <si>
    <t>TEDI</t>
  </si>
  <si>
    <t>TABLEROS ELECTRONICOS DIGITALES INTERACTIVOS, SOCIEDAD
ANONIMA</t>
  </si>
  <si>
    <t>PANTALLAS DIGITALES 3D</t>
  </si>
  <si>
    <t>1343 píxeles horizontales x 577 píxeles verticales,
1728 píxeles horizontales x 720 píxeles verticales,
506 píxeles horizontales x 1347 píxeles verticales,
841 píxeles horizontales x 1347 píxeles verticales,
800 píxeles horizontales x 720 píxeles verticales,
2000 píxeles horizontales x 720 píxeles horizontales,
912 píxeles horizontales x 720 píxeles verticales,
1344 píxeles horizontales x 720 píxeles verticales,</t>
  </si>
  <si>
    <t>1920 píxeles horizontales x 1080 píxeles verticales</t>
  </si>
  <si>
    <t>Aeropuerto Mundo Maya Petén</t>
  </si>
  <si>
    <t>2,000 personas en promedio</t>
  </si>
  <si>
    <t>3 cajas de luz
1 mupi Impreso</t>
  </si>
  <si>
    <t>EU OUTDOOR</t>
  </si>
  <si>
    <t xml:space="preserve">MUPIS  </t>
  </si>
  <si>
    <t>1.01 x 2.44 mts</t>
  </si>
  <si>
    <t>LANDMARKS</t>
  </si>
  <si>
    <t>4.57 x 2.12 mts</t>
  </si>
  <si>
    <t>UNIPOLARES</t>
  </si>
  <si>
    <t>15x6 o 9x10 mts</t>
  </si>
  <si>
    <t>15x12 mts</t>
  </si>
  <si>
    <t>UNIPOLAR REDONDA</t>
  </si>
  <si>
    <t>UNIPOLAR INTERIOR</t>
  </si>
  <si>
    <t>9x4 mts</t>
  </si>
  <si>
    <t>CIRCUITO ROTATIVO UNIPOLARES</t>
  </si>
  <si>
    <t>PASO A DESNIVEL</t>
  </si>
  <si>
    <t>12x2 mts</t>
  </si>
  <si>
    <t>PASARELA</t>
  </si>
  <si>
    <t>UNIPOLAR DIGITAL</t>
  </si>
  <si>
    <t>2,688px x 1,152px</t>
  </si>
  <si>
    <t>3° Calle 2-95 Sector A4 z.8
Mixco, San Cristóbal.</t>
  </si>
  <si>
    <t>MUPIS DIGITALES</t>
  </si>
  <si>
    <t>416 píxeles horizontales x 570 píxeles verticales</t>
  </si>
  <si>
    <t>IMPRESOS</t>
  </si>
  <si>
    <t>FORMATO</t>
  </si>
  <si>
    <t>COSTO:</t>
  </si>
  <si>
    <t>CIRCULACIÓN PROM.</t>
  </si>
  <si>
    <t>NUESTRO DIARIO</t>
  </si>
  <si>
    <t>DIARIOS MODERNOS</t>
  </si>
  <si>
    <t>10” x 12.5”  página full color</t>
  </si>
  <si>
    <t>SOY502</t>
  </si>
  <si>
    <t>CÓDIGO DIGITAL</t>
  </si>
  <si>
    <t>6x8 módulos full color (10”ancho x 12.5” alto)</t>
  </si>
  <si>
    <t>Ciudad de Guatemala en calles y avenidas con alta circulación de vehículos y peatones</t>
  </si>
  <si>
    <t>elMetropolitano</t>
  </si>
  <si>
    <t>JOSE RAMÓN HERNÁNDEZ SANTOS</t>
  </si>
  <si>
    <t>MIXCO/CARRETERA SALVADOR
MIXCO / GUATEMALA SUR
ANTIGUA/CHIMALTENANGO
ESCUINTLA</t>
  </si>
  <si>
    <t>1 BONIF x PAG.</t>
  </si>
  <si>
    <t>27,000
27,000
18,000
18,000
TOT. 90,000</t>
  </si>
  <si>
    <t>El Escuintleco</t>
  </si>
  <si>
    <t>EL PERIODICO DE ESCUINTLA, SOCIEDAD ANONIMA</t>
  </si>
  <si>
    <t>6x8 módulos full color (10”ancho x 12” alto)</t>
  </si>
  <si>
    <t>SI HAY ESPACIO OFRECE PÁGINA GRATUITA</t>
  </si>
  <si>
    <t>ASOCIACIÓN DE PERIODISTAS DE GUATEMALA</t>
  </si>
  <si>
    <t>8.5" x 11" página full color</t>
  </si>
  <si>
    <t xml:space="preserve">Ciudad de Guatemala </t>
  </si>
  <si>
    <t>5,000 ejemplares</t>
  </si>
  <si>
    <t>Prensa Libre</t>
  </si>
  <si>
    <t>Prensa Libre, S.A.</t>
  </si>
  <si>
    <t xml:space="preserve">La Prensa </t>
  </si>
  <si>
    <t>ABRAHAM DEMETRIO BACA DAVILA, MARLENI JUDITH LAPARRA
REYNA COPROPIEDAD</t>
  </si>
  <si>
    <t>10" ancho x 12.5" alto</t>
  </si>
  <si>
    <t>Los departamentos de Guatemala y Sacatepéquez</t>
  </si>
  <si>
    <t>10,000 ejemplares en promedio.</t>
  </si>
  <si>
    <t>PUBLINEWS</t>
  </si>
  <si>
    <t>VALSESIA, SOCIEDAD ANÓNIMA</t>
  </si>
  <si>
    <t>Metropolitana</t>
  </si>
  <si>
    <t>Q 24,950.00</t>
  </si>
  <si>
    <t>SI EL ESPACIO ES CONTRAPORTADA, FB DE PN BONIFICADO</t>
  </si>
  <si>
    <t>40,000 ejemplares diarios promedio</t>
  </si>
  <si>
    <t>Medio</t>
  </si>
  <si>
    <t>SOY 502</t>
  </si>
  <si>
    <t>DIGITAL</t>
  </si>
  <si>
    <t>ALCANCE PROM.</t>
  </si>
  <si>
    <t>COSTO POR MIL CON IMPS.</t>
  </si>
  <si>
    <t>OXLAJUJ K´AT</t>
  </si>
  <si>
    <t>SERVICIOS INTEGRADOS OXLAJUJ K´AT, 
SOCIEDAD ANÓNIMA</t>
  </si>
  <si>
    <t>AUDIO DIGITAL</t>
  </si>
  <si>
    <t>5 millones</t>
  </si>
  <si>
    <t>TRADUCCIÓN 9 IDIOMAS</t>
  </si>
  <si>
    <t>Q 2,160.00</t>
  </si>
  <si>
    <t>tarifa especial scspr</t>
  </si>
  <si>
    <t>DIGITAL (FB, IG, X, YOUTUBE)</t>
  </si>
  <si>
    <t>2.5 millones 
de usuarios mensual</t>
  </si>
  <si>
    <t>CPM US$5 + impuestos</t>
  </si>
  <si>
    <t>MADAME GROUP</t>
  </si>
  <si>
    <t>M D M GROUP, SOCIEDAD ANÓNIMA</t>
  </si>
  <si>
    <t>DIGITAL (FB, IG, X, YOUTUBE, PROG. STREAMING)</t>
  </si>
  <si>
    <t>CPM USD  0.33</t>
  </si>
  <si>
    <t xml:space="preserve">DOS PUNTOS CREA </t>
  </si>
  <si>
    <t>571950K</t>
  </si>
  <si>
    <t>DOS PUNTOS CREA, SOCIEDAD ANÓNIMA.</t>
  </si>
  <si>
    <t xml:space="preserve">NACIONAL  </t>
  </si>
  <si>
    <t>CPM USD $0.35</t>
  </si>
  <si>
    <t>949, MIA 937, GLOBO 989, CLASICA Y LA RED</t>
  </si>
  <si>
    <t>MID ROLL AUDIO</t>
  </si>
  <si>
    <t>500000 impresiones</t>
  </si>
  <si>
    <t>UNIVERSAL MEDIA</t>
  </si>
  <si>
    <t>7221252-7</t>
  </si>
  <si>
    <t>Ricardo Arturo Leiva Erazo</t>
  </si>
  <si>
    <t>1.5 millones de impresiones</t>
  </si>
  <si>
    <t>HORIZON</t>
  </si>
  <si>
    <t>HORIZON INVESTMENTS LATAM, S.A.</t>
  </si>
  <si>
    <t>3 millones de impresiones</t>
  </si>
  <si>
    <t>CPM USD 0.08</t>
  </si>
  <si>
    <t>POST, HISTORIA Y RICH MEDIA</t>
  </si>
  <si>
    <t>2.3 Millones</t>
  </si>
  <si>
    <t>CPM USD 6</t>
  </si>
  <si>
    <t>REVISTA CRONICA</t>
  </si>
  <si>
    <t>REVISTA CRONICA, SOCIEDAD ANONIMA</t>
  </si>
  <si>
    <t>BANNER WEB Y  REVISTA DIGITAL.</t>
  </si>
  <si>
    <t xml:space="preserve">prensa libre </t>
  </si>
  <si>
    <t>BANNER WEB</t>
  </si>
  <si>
    <t>CPM Q 38.30</t>
  </si>
  <si>
    <t>CÁPSULAS EXPRES</t>
  </si>
  <si>
    <t>DIARIOS MODERNOS, S.A.</t>
  </si>
  <si>
    <t>POSTO/HISTORIA FB O IG + PAUTA IMPRESA</t>
  </si>
  <si>
    <t>EU REDES SOCIALES</t>
  </si>
  <si>
    <t xml:space="preserve">POST  </t>
  </si>
  <si>
    <t>HISTORIA</t>
  </si>
  <si>
    <t>REEL</t>
  </si>
  <si>
    <t>RADIO EN LÍNEA</t>
  </si>
  <si>
    <t>PRE ROLL</t>
  </si>
  <si>
    <t>CPM 52 o CPM 32</t>
  </si>
  <si>
    <t>TIKTOK LIVE</t>
  </si>
  <si>
    <t>LOGO</t>
  </si>
  <si>
    <t>CINTILLO</t>
  </si>
  <si>
    <t>PUSH NOTIFICATION</t>
  </si>
  <si>
    <t>Plaza Pública</t>
  </si>
  <si>
    <t>La Hora</t>
  </si>
  <si>
    <t>Canal Antigua</t>
  </si>
  <si>
    <t>Medios a nivel nacional</t>
  </si>
  <si>
    <t>Tipo de medio</t>
  </si>
  <si>
    <t>Penetración</t>
  </si>
  <si>
    <t>Objetivo publicitario ideal</t>
  </si>
  <si>
    <t>Observaciones</t>
  </si>
  <si>
    <t>Alto</t>
  </si>
  <si>
    <t>Alta (segmento urbano y profesional)</t>
  </si>
  <si>
    <t>Awareness + fidelización en audiencias urbanas</t>
  </si>
  <si>
    <t>Noticias, entretenimiento, política</t>
  </si>
  <si>
    <t>Radio Sonora</t>
  </si>
  <si>
    <t>Media-Alta</t>
  </si>
  <si>
    <t>Awareness masivo + campañas culturales</t>
  </si>
  <si>
    <t>Cobertura nacional, público general</t>
  </si>
  <si>
    <t>Radio TGW</t>
  </si>
  <si>
    <t>Alta (público institucional y gubernamental)</t>
  </si>
  <si>
    <t>Posicionamiento institucional y comunicación oficial</t>
  </si>
  <si>
    <t>Radio estatal, credibilidad alta</t>
  </si>
  <si>
    <t>Canal 3</t>
  </si>
  <si>
    <t>TV abierta</t>
  </si>
  <si>
    <t>Muy alto</t>
  </si>
  <si>
    <t>Media</t>
  </si>
  <si>
    <t>Awareness masivo, branding, entretenimiento</t>
  </si>
  <si>
    <t>Cobertura nacional, programas populares</t>
  </si>
  <si>
    <t>Canal 7 (Televisiete)</t>
  </si>
  <si>
    <t>Awareness masivo, campañas de consumo</t>
  </si>
  <si>
    <t>Cobertura nacional, programas de entretenimiento y noticias</t>
  </si>
  <si>
    <t>Alta (audiencia informada)</t>
  </si>
  <si>
    <t>Posicionamiento, branding, campañas de opinión</t>
  </si>
  <si>
    <t>Noticieros, opinión política, programas culturales</t>
  </si>
  <si>
    <t>TV digital + TV</t>
  </si>
  <si>
    <t>Medio-Alto</t>
  </si>
  <si>
    <t>Alta (audiencia crítica)</t>
  </si>
  <si>
    <t>Posicionamiento + campaña de liderazgo de opinión</t>
  </si>
  <si>
    <t>Debate político, análisis, noticias</t>
  </si>
  <si>
    <t>TV Azteca Guatemala</t>
  </si>
  <si>
    <t>Awareness masivo, branding</t>
  </si>
  <si>
    <t>Programas de entretenimiento y deportes</t>
  </si>
  <si>
    <t>Prensa escrita + digital</t>
  </si>
  <si>
    <t>Awareness + campañas comerciales</t>
  </si>
  <si>
    <t>Público general, digital y papel</t>
  </si>
  <si>
    <t>Soy502</t>
  </si>
  <si>
    <t>Digital</t>
  </si>
  <si>
    <t>Awareness digital, campañas virales</t>
  </si>
  <si>
    <t>Público joven, noticias rápidas, viralidad</t>
  </si>
  <si>
    <t>Guatemala.com</t>
  </si>
  <si>
    <t>Awareness digital, engagement masivo</t>
  </si>
  <si>
    <t>Noticias, entretenimiento, contenido viral</t>
  </si>
  <si>
    <t>Prensa digital</t>
  </si>
  <si>
    <t>Alta (audiencia crítica y política)</t>
  </si>
  <si>
    <t>Campañas de posicionamiento y branding político</t>
  </si>
  <si>
    <t>Opinión, análisis y periodismo investigativo</t>
  </si>
  <si>
    <t>elPeriódico</t>
  </si>
  <si>
    <t>Alta (audiencia política e influyente)</t>
  </si>
  <si>
    <t>Campañas de posicionamiento, advocacy</t>
  </si>
  <si>
    <t>Periodismo investigativo, influencia política</t>
  </si>
  <si>
    <t>Bajo-Medio</t>
  </si>
  <si>
    <t>Alta (audiencia especializada)</t>
  </si>
  <si>
    <t>Campañas de nicho: institucional, académico, político</t>
  </si>
  <si>
    <t>Periodismo de investigación, análisis profundo</t>
  </si>
  <si>
    <t>Penetración (% hogares)</t>
  </si>
  <si>
    <t>Televisión</t>
  </si>
  <si>
    <t>Prensa escrita</t>
  </si>
  <si>
    <t>30% (estimado alcance relativo)</t>
  </si>
  <si>
    <t>Radio:</t>
  </si>
  <si>
    <t>Metropolitano</t>
  </si>
  <si>
    <t>1 B INDICADORES RADIO METRO DIC-2025.pdf</t>
  </si>
  <si>
    <t>Nacional</t>
  </si>
  <si>
    <t>ESTUDIOS DE AUDIENCIA.pdf</t>
  </si>
  <si>
    <t>TV: abierta</t>
  </si>
  <si>
    <t>Tablas TV medición diciembre 2025 (1).pdf</t>
  </si>
  <si>
    <t>2, 325,000</t>
  </si>
  <si>
    <t>2, 325,001</t>
  </si>
  <si>
    <t>2, 325,002</t>
  </si>
  <si>
    <t>2, 325,003</t>
  </si>
  <si>
    <t>TIGO</t>
  </si>
  <si>
    <t>PAUTABLES</t>
  </si>
  <si>
    <t>TV001</t>
  </si>
  <si>
    <t>TV002</t>
  </si>
  <si>
    <t>TV003</t>
  </si>
  <si>
    <t>TV004</t>
  </si>
  <si>
    <t>TV005</t>
  </si>
  <si>
    <t>TV006</t>
  </si>
  <si>
    <t>TV007</t>
  </si>
  <si>
    <t>TV008</t>
  </si>
  <si>
    <t>TV009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</si>
  <si>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</si>
  <si>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</si>
  <si>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</si>
  <si>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</si>
  <si>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</si>
  <si>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</si>
  <si>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</si>
  <si>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</si>
  <si>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</si>
  <si>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</si>
  <si>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</si>
  <si>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</si>
  <si>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</si>
  <si>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</si>
  <si>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</si>
  <si>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</si>
  <si>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</si>
  <si>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</si>
  <si>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</si>
  <si>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</si>
  <si>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</si>
  <si>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</si>
  <si>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</si>
  <si>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</si>
  <si>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</si>
  <si>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</si>
  <si>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</si>
  <si>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</si>
  <si>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</si>
  <si>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</si>
  <si>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</si>
  <si>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</si>
  <si>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</si>
  <si>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</si>
  <si>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</si>
  <si>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</si>
  <si>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</si>
  <si>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</si>
  <si>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</si>
  <si>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</si>
  <si>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</si>
  <si>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</si>
  <si>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</si>
  <si>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</si>
  <si>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</si>
  <si>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</si>
  <si>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</si>
  <si>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</si>
  <si>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</si>
  <si>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</si>
  <si>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</si>
  <si>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</si>
  <si>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</si>
  <si>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</si>
  <si>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</si>
  <si>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</si>
  <si>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</si>
  <si>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</si>
  <si>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</si>
  <si>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</si>
  <si>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</si>
  <si>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</si>
  <si>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</si>
  <si>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</si>
  <si>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</si>
  <si>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</si>
  <si>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</si>
  <si>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</si>
  <si>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</si>
  <si>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</si>
  <si>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</si>
  <si>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</si>
  <si>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</si>
  <si>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</si>
  <si>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</si>
  <si>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</si>
  <si>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</si>
  <si>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</si>
  <si>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</si>
  <si>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</si>
  <si>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</si>
  <si>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</si>
  <si>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</si>
  <si>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</si>
  <si>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</si>
  <si>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</si>
  <si>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</si>
  <si>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</si>
  <si>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</si>
  <si>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CD01</t>
  </si>
  <si>
    <t>CD02</t>
  </si>
  <si>
    <t>CD03</t>
  </si>
  <si>
    <t>CD04</t>
  </si>
  <si>
    <t>CD05</t>
  </si>
  <si>
    <t>CD06</t>
  </si>
  <si>
    <t>CD07</t>
  </si>
  <si>
    <t>CD08</t>
  </si>
  <si>
    <t>CD09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</si>
  <si>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</si>
  <si>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</si>
  <si>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</si>
  <si>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</si>
  <si>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</si>
  <si>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</si>
  <si>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</si>
  <si>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</si>
  <si>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</si>
  <si>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</si>
  <si>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</si>
  <si>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</si>
  <si>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CO001</t>
  </si>
  <si>
    <t>CD022</t>
  </si>
  <si>
    <t>CR001</t>
  </si>
  <si>
    <t>CR002</t>
  </si>
  <si>
    <t>CR003</t>
  </si>
  <si>
    <t>CR004</t>
  </si>
  <si>
    <t>CO002</t>
  </si>
  <si>
    <t>CO003</t>
  </si>
  <si>
    <t>CO004</t>
  </si>
  <si>
    <t>CO005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</si>
  <si>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</si>
  <si>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</si>
  <si>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</si>
  <si>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</si>
  <si>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</si>
  <si>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</si>
  <si>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</si>
  <si>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</si>
  <si>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</si>
  <si>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</si>
  <si>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</si>
  <si>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</si>
  <si>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</si>
  <si>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</si>
  <si>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</si>
  <si>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</si>
  <si>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</si>
  <si>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</si>
  <si>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</si>
  <si>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</si>
  <si>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</si>
  <si>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</si>
  <si>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</si>
  <si>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</si>
  <si>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</si>
  <si>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</si>
  <si>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</si>
  <si>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</si>
  <si>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</si>
  <si>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</si>
  <si>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</si>
  <si>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</si>
  <si>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</si>
  <si>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</si>
  <si>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</si>
  <si>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</si>
  <si>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</si>
  <si>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</si>
  <si>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</si>
  <si>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</si>
  <si>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</si>
  <si>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</si>
  <si>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</si>
  <si>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</si>
  <si>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</si>
  <si>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</si>
  <si>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</si>
  <si>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</si>
  <si>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</si>
  <si>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</si>
  <si>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</si>
  <si>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</si>
  <si>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</si>
  <si>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</si>
  <si>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</si>
  <si>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</si>
  <si>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</si>
  <si>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</si>
  <si>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CD80</t>
  </si>
  <si>
    <t>CD81</t>
  </si>
  <si>
    <t>CD82</t>
  </si>
  <si>
    <t>CD83</t>
  </si>
  <si>
    <t>CD84</t>
  </si>
  <si>
    <t>CD85</t>
  </si>
  <si>
    <t>CD86</t>
  </si>
  <si>
    <t>CD87</t>
  </si>
  <si>
    <t>CD88</t>
  </si>
  <si>
    <t>CD89</t>
  </si>
  <si>
    <t>CD90</t>
  </si>
  <si>
    <t>CD91</t>
  </si>
  <si>
    <t>CD92</t>
  </si>
  <si>
    <t>CD93</t>
  </si>
  <si>
    <t>CD94</t>
  </si>
  <si>
    <t>CD95</t>
  </si>
  <si>
    <t>CD96</t>
  </si>
  <si>
    <t>CD97</t>
  </si>
  <si>
    <t>CD98</t>
  </si>
  <si>
    <t>CD99</t>
  </si>
  <si>
    <t>CD100</t>
  </si>
  <si>
    <t>CD101</t>
  </si>
  <si>
    <t>CD102</t>
  </si>
  <si>
    <t>CD103</t>
  </si>
  <si>
    <t>CD104</t>
  </si>
  <si>
    <t>CD105</t>
  </si>
  <si>
    <t>CD106</t>
  </si>
  <si>
    <t>CD107</t>
  </si>
  <si>
    <t>EXT001</t>
  </si>
  <si>
    <t>EXT002</t>
  </si>
  <si>
    <t>EXT003</t>
  </si>
  <si>
    <t>EXT004</t>
  </si>
  <si>
    <t>EXT005</t>
  </si>
  <si>
    <t>EXT006</t>
  </si>
  <si>
    <t>EXT007</t>
  </si>
  <si>
    <t>EXT008</t>
  </si>
  <si>
    <t>EXT009</t>
  </si>
  <si>
    <t>EXT010</t>
  </si>
  <si>
    <t>EXT011</t>
  </si>
  <si>
    <t>EXT012</t>
  </si>
  <si>
    <t>EXT013</t>
  </si>
  <si>
    <t>EXT014</t>
  </si>
  <si>
    <t>EXT015</t>
  </si>
  <si>
    <t>EXT016</t>
  </si>
  <si>
    <t>EXT017</t>
  </si>
  <si>
    <t>EXT018</t>
  </si>
  <si>
    <t>EXT019</t>
  </si>
  <si>
    <t>EXT020</t>
  </si>
  <si>
    <t>EXT021</t>
  </si>
  <si>
    <t>EXT022</t>
  </si>
  <si>
    <t>EXT023</t>
  </si>
  <si>
    <t>EXT024</t>
  </si>
  <si>
    <t>EXT025</t>
  </si>
  <si>
    <t>EXT026</t>
  </si>
  <si>
    <t>EXT027</t>
  </si>
  <si>
    <t>PANTALLAS MÓVILES DE GUATEMALA</t>
  </si>
  <si>
    <t>INVERSIONES MACOSA S.A.</t>
  </si>
  <si>
    <t>PANTALLAS MÓVILES</t>
  </si>
  <si>
    <t>1,800 X 900 PIXLES</t>
  </si>
  <si>
    <t>150,000 vehículos diarios en promedio</t>
  </si>
  <si>
    <t>IMP001</t>
  </si>
  <si>
    <t>IMP002</t>
  </si>
  <si>
    <t>IMP003</t>
  </si>
  <si>
    <t>IMP004</t>
  </si>
  <si>
    <t>IMP005</t>
  </si>
  <si>
    <t>IMP006</t>
  </si>
  <si>
    <t>IMP007</t>
  </si>
  <si>
    <t>IMP008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</si>
  <si>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</si>
  <si>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</si>
  <si>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</si>
  <si>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</si>
  <si>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</si>
  <si>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</si>
  <si>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</si>
  <si>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</si>
  <si>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</si>
  <si>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</si>
  <si>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</si>
  <si>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</si>
  <si>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</si>
  <si>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</si>
  <si>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</si>
  <si>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</si>
  <si>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</si>
  <si>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</si>
  <si>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</si>
  <si>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CÓDIGO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</si>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</sst>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Q]#,##0.00"/>
    <numFmt numFmtId="165" formatCode="&quot;$&quot;#,##0.00"/>
  </numFmts>
  <fonts count="25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rgb="FF0563C1"/>
      <name val="Calibri"/>
      <family val="2"/>
    </font>
    <font>
      <u/>
      <sz val="12"/>
      <color rgb="FF0000FF"/>
      <name val="Calibri"/>
      <family val="2"/>
    </font>
    <font>
      <sz val="12"/>
      <color rgb="FF333333"/>
      <name val="Calibri"/>
      <family val="2"/>
    </font>
    <font>
      <sz val="12"/>
      <color rgb="FF000000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563C1"/>
      <name val="Calibri"/>
      <family val="2"/>
    </font>
    <font>
      <u/>
      <sz val="12"/>
      <color rgb="FF0563C1"/>
      <name val="Calibri"/>
      <family val="2"/>
    </font>
    <font>
      <sz val="12"/>
      <color rgb="FF000000"/>
      <name val="&quot;Aptos Narrow&quot;"/>
    </font>
    <font>
      <b/>
      <sz val="12"/>
      <color rgb="FF000000"/>
      <name val="&quot;Aptos Narrow&quot;"/>
    </font>
    <font>
      <u/>
      <sz val="12"/>
      <color rgb="FF0000FF"/>
      <name val="Calibri"/>
      <family val="2"/>
    </font>
    <font>
      <sz val="12"/>
      <color rgb="FF222222"/>
      <name val="Calibri"/>
      <family val="2"/>
    </font>
    <font>
      <b/>
      <sz val="12"/>
      <color rgb="FF000000"/>
      <name val="Arial"/>
      <family val="2"/>
    </font>
    <font>
      <u/>
      <sz val="12"/>
      <color rgb="FF000000"/>
      <name val="&quot;Aptos Narrow&quot;"/>
    </font>
    <font>
      <sz val="17"/>
      <color theme="1"/>
      <name val="Calibri"/>
      <family val="2"/>
      <scheme val="minor"/>
    </font>
    <font>
      <u/>
      <sz val="17"/>
      <color theme="1"/>
      <name val="Calibri"/>
      <family val="2"/>
      <scheme val="minor"/>
    </font>
    <font>
      <u/>
      <sz val="17"/>
      <color theme="1"/>
      <name val="Calibri"/>
      <family val="2"/>
      <scheme val="minor"/>
    </font>
    <font>
      <sz val="12"/>
      <color theme="1"/>
      <name val="Aptos Narrow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5" fillId="4" borderId="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18" fillId="0" borderId="0" xfId="0" applyFont="1"/>
    <xf numFmtId="0" fontId="19" fillId="0" borderId="0" xfId="0" applyFont="1"/>
    <xf numFmtId="9" fontId="14" fillId="0" borderId="0" xfId="0" applyNumberFormat="1" applyFont="1" applyAlignment="1">
      <alignment horizontal="right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0" xfId="0" applyFont="1"/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/>
    <xf numFmtId="0" fontId="5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6">
    <tableStyle name="Gráfico Televisión-style" pivot="0" count="4" xr9:uid="{00000000-0011-0000-FFFF-FFFF00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Gráfico Radio-style" pivot="0" count="4" xr9:uid="{00000000-0011-0000-FFFF-FFFF01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Gráfico Cable-style" pivot="0" count="4" xr9:uid="{00000000-0011-0000-FFFF-FFFF02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Gráfico Exteriores-style" pivot="0" count="4" xr9:uid="{00000000-0011-0000-FFFF-FFFF03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Gráfico Impresos-style" pivot="0" count="4" xr9:uid="{00000000-0011-0000-FFFF-FFFF04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Gráfico digitales-style" pivot="0" count="4" xr9:uid="{00000000-0011-0000-FFFF-FFFF05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552450</xdr:colOff>
      <xdr:row>16</xdr:row>
      <xdr:rowOff>85725</xdr:rowOff>
    </xdr:from>
    <xdr:ext cx="1885950" cy="885825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552450</xdr:colOff>
      <xdr:row>21</xdr:row>
      <xdr:rowOff>123825</xdr:rowOff>
    </xdr:from>
    <xdr:ext cx="1885950" cy="885825"/>
    <xdr:pic>
      <xdr:nvPicPr>
        <xdr:cNvPr id="3" name="image4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Oif_tGkLZXJQdDQsWKtKIgnwQqs2gOA/view?usp=drive_link" TargetMode="External"/><Relationship Id="rId3" Type="http://schemas.openxmlformats.org/officeDocument/2006/relationships/hyperlink" Target="https://drive.google.com/drive/folders/1sCAIup5eW68MytT6Nz9sbPmWP7-e57OV?usp=drive_link" TargetMode="External"/><Relationship Id="rId7" Type="http://schemas.openxmlformats.org/officeDocument/2006/relationships/hyperlink" Target="https://drive.google.com/drive/folders/1LLzH8rRm4MPGxjrHE8QhsUiXKYHA0k0E?usp=sharing" TargetMode="External"/><Relationship Id="rId2" Type="http://schemas.openxmlformats.org/officeDocument/2006/relationships/hyperlink" Target="https://drive.google.com/drive/folders/1jOS5n429BObe5zD0hjuICyCA_XVl1AqK?usp=drive_link" TargetMode="External"/><Relationship Id="rId1" Type="http://schemas.openxmlformats.org/officeDocument/2006/relationships/hyperlink" Target="https://drive.google.com/drive/folders/1ZAk0OpQPvW_aBl9_Lf1yKHD4-oQ1OPOI?usp=drive_link" TargetMode="External"/><Relationship Id="rId6" Type="http://schemas.openxmlformats.org/officeDocument/2006/relationships/hyperlink" Target="https://drive.google.com/drive/folders/1snqwBiW3qSRveHda4Yze0NFrBCVloJrv?usp=share_link" TargetMode="External"/><Relationship Id="rId5" Type="http://schemas.openxmlformats.org/officeDocument/2006/relationships/hyperlink" Target="https://drive.google.com/drive/folders/1jOS5n429BObe5zD0hjuICyCA_XVl1AqK?usp=drive_link" TargetMode="External"/><Relationship Id="rId4" Type="http://schemas.openxmlformats.org/officeDocument/2006/relationships/hyperlink" Target="https://drive.google.com/drive/folders/1esU2dMfnwSS40qwoafkHbsabFxd_-81g?usp=drive_link" TargetMode="External"/><Relationship Id="rId9" Type="http://schemas.openxmlformats.org/officeDocument/2006/relationships/hyperlink" Target="https://drive.google.com/drive/folders/1F13HCwDRGBwFkvm355tXILIjQNZxM6KW?usp=sharing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lYe8z2ZYYrQCz0bGN5lnzZVljK7nWfas?usp=drive_link" TargetMode="External"/><Relationship Id="rId18" Type="http://schemas.openxmlformats.org/officeDocument/2006/relationships/hyperlink" Target="https://drive.google.com/file/d/1iFpXPcluRklyafUo8pvGbv8hOrLG3xqM/view?usp=drive_link" TargetMode="External"/><Relationship Id="rId26" Type="http://schemas.openxmlformats.org/officeDocument/2006/relationships/hyperlink" Target="https://drive.google.com/file/d/1nMdRHmNBBZdIbJS0-K5g6zKiAokh7-_X/view" TargetMode="External"/><Relationship Id="rId39" Type="http://schemas.openxmlformats.org/officeDocument/2006/relationships/hyperlink" Target="https://drive.google.com/file/d/1X6dJgyk35MSczF2YVe-r7YX-zNu6926p/view" TargetMode="External"/><Relationship Id="rId21" Type="http://schemas.openxmlformats.org/officeDocument/2006/relationships/hyperlink" Target="https://drive.google.com/drive/folders/1skf2fujdhoAFJQhXa0XorxxwVHKyN-yl?usp=drive_link" TargetMode="External"/><Relationship Id="rId34" Type="http://schemas.openxmlformats.org/officeDocument/2006/relationships/hyperlink" Target="https://drive.google.com/file/d/1X6dJgyk35MSczF2YVe-r7YX-zNu6926p/view" TargetMode="External"/><Relationship Id="rId42" Type="http://schemas.openxmlformats.org/officeDocument/2006/relationships/hyperlink" Target="https://drive.google.com/file/d/1X6dJgyk35MSczF2YVe-r7YX-zNu6926p/view" TargetMode="External"/><Relationship Id="rId47" Type="http://schemas.openxmlformats.org/officeDocument/2006/relationships/hyperlink" Target="https://drive.google.com/drive/folders/1n_AYVjy9rxIBqNB3IlPNwukZBd-Fscci?usp=drive_link" TargetMode="External"/><Relationship Id="rId50" Type="http://schemas.openxmlformats.org/officeDocument/2006/relationships/hyperlink" Target="https://drive.google.com/drive/folders/1n_AYVjy9rxIBqNB3IlPNwukZBd-Fscci?usp=drive_link" TargetMode="External"/><Relationship Id="rId55" Type="http://schemas.openxmlformats.org/officeDocument/2006/relationships/hyperlink" Target="https://drive.google.com/drive/folders/1n_AYVjy9rxIBqNB3IlPNwukZBd-Fscci?usp=drive_link" TargetMode="External"/><Relationship Id="rId7" Type="http://schemas.openxmlformats.org/officeDocument/2006/relationships/hyperlink" Target="https://drive.google.com/drive/folders/1rYmNc7Hw9lLF43yrSHrGKZTRrx72Lgll?usp=drive_link" TargetMode="External"/><Relationship Id="rId2" Type="http://schemas.openxmlformats.org/officeDocument/2006/relationships/hyperlink" Target="https://drive.google.com/file/d/1PkAiPEZ7VqHG07jIhYhqyYbrOPE-pqxP/view?usp=drive_link" TargetMode="External"/><Relationship Id="rId16" Type="http://schemas.openxmlformats.org/officeDocument/2006/relationships/hyperlink" Target="https://drive.google.com/drive/folders/1lYe8z2ZYYrQCz0bGN5lnzZVljK7nWfas?usp=drive_link" TargetMode="External"/><Relationship Id="rId29" Type="http://schemas.openxmlformats.org/officeDocument/2006/relationships/hyperlink" Target="https://drive.google.com/file/d/1TVOZ42TVJOd7YLLHFPEBuAUMTQokHTTY/view?usp=drive_link" TargetMode="External"/><Relationship Id="rId11" Type="http://schemas.openxmlformats.org/officeDocument/2006/relationships/hyperlink" Target="https://drive.google.com/drive/folders/14nTEOkVB3mlYPUhtTAamBBo3ucQuffP8?usp=drive_link" TargetMode="External"/><Relationship Id="rId24" Type="http://schemas.openxmlformats.org/officeDocument/2006/relationships/hyperlink" Target="https://drive.google.com/file/d/1TVOZ42TVJOd7YLLHFPEBuAUMTQokHTTY/view?usp=drive_link" TargetMode="External"/><Relationship Id="rId32" Type="http://schemas.openxmlformats.org/officeDocument/2006/relationships/hyperlink" Target="https://drive.google.com/file/d/1X6dJgyk35MSczF2YVe-r7YX-zNu6926p/view?usp=drive_link" TargetMode="External"/><Relationship Id="rId37" Type="http://schemas.openxmlformats.org/officeDocument/2006/relationships/hyperlink" Target="https://drive.google.com/file/d/1X6dJgyk35MSczF2YVe-r7YX-zNu6926p/view" TargetMode="External"/><Relationship Id="rId40" Type="http://schemas.openxmlformats.org/officeDocument/2006/relationships/hyperlink" Target="https://drive.google.com/file/d/1X6dJgyk35MSczF2YVe-r7YX-zNu6926p/view" TargetMode="External"/><Relationship Id="rId45" Type="http://schemas.openxmlformats.org/officeDocument/2006/relationships/hyperlink" Target="https://drive.google.com/file/d/1X6dJgyk35MSczF2YVe-r7YX-zNu6926p/view?usp=drive_link" TargetMode="External"/><Relationship Id="rId53" Type="http://schemas.openxmlformats.org/officeDocument/2006/relationships/hyperlink" Target="https://drive.google.com/drive/folders/1n_AYVjy9rxIBqNB3IlPNwukZBd-Fscci?usp=drive_link" TargetMode="External"/><Relationship Id="rId58" Type="http://schemas.openxmlformats.org/officeDocument/2006/relationships/hyperlink" Target="https://drive.google.com/drive/folders/1n_AYVjy9rxIBqNB3IlPNwukZBd-Fscci?usp=drive_link" TargetMode="External"/><Relationship Id="rId5" Type="http://schemas.openxmlformats.org/officeDocument/2006/relationships/hyperlink" Target="https://drive.google.com/drive/folders/15lsmSFPm9gNs29kpI6aWrnhXVDiQNFh-?usp=drive_link" TargetMode="External"/><Relationship Id="rId61" Type="http://schemas.openxmlformats.org/officeDocument/2006/relationships/hyperlink" Target="https://drive.google.com/drive/folders/1n_AYVjy9rxIBqNB3IlPNwukZBd-Fscci?usp=drive_link" TargetMode="External"/><Relationship Id="rId19" Type="http://schemas.openxmlformats.org/officeDocument/2006/relationships/hyperlink" Target="https://drive.google.com/file/d/1TVOZ42TVJOd7YLLHFPEBuAUMTQokHTTY/view" TargetMode="External"/><Relationship Id="rId14" Type="http://schemas.openxmlformats.org/officeDocument/2006/relationships/hyperlink" Target="https://drive.google.com/drive/folders/1lYe8z2ZYYrQCz0bGN5lnzZVljK7nWfas?usp=drive_link" TargetMode="External"/><Relationship Id="rId22" Type="http://schemas.openxmlformats.org/officeDocument/2006/relationships/hyperlink" Target="https://drive.google.com/file/d/1TVOZ42TVJOd7YLLHFPEBuAUMTQokHTTY/view?usp=drive_link" TargetMode="External"/><Relationship Id="rId27" Type="http://schemas.openxmlformats.org/officeDocument/2006/relationships/hyperlink" Target="https://drive.google.com/file/d/1nMdRHmNBBZdIbJS0-K5g6zKiAokh7-_X/view" TargetMode="External"/><Relationship Id="rId30" Type="http://schemas.openxmlformats.org/officeDocument/2006/relationships/hyperlink" Target="https://drive.google.com/file/d/1iB1HwPK_QXO8lk9Ydsp3OtcWpnQDGqjx/view?usp=drive_link" TargetMode="External"/><Relationship Id="rId35" Type="http://schemas.openxmlformats.org/officeDocument/2006/relationships/hyperlink" Target="https://drive.google.com/file/d/1X6dJgyk35MSczF2YVe-r7YX-zNu6926p/view" TargetMode="External"/><Relationship Id="rId43" Type="http://schemas.openxmlformats.org/officeDocument/2006/relationships/hyperlink" Target="https://drive.google.com/file/d/1X6dJgyk35MSczF2YVe-r7YX-zNu6926p/view" TargetMode="External"/><Relationship Id="rId48" Type="http://schemas.openxmlformats.org/officeDocument/2006/relationships/hyperlink" Target="https://drive.google.com/drive/folders/1n_AYVjy9rxIBqNB3IlPNwukZBd-Fscci?usp=drive_link" TargetMode="External"/><Relationship Id="rId56" Type="http://schemas.openxmlformats.org/officeDocument/2006/relationships/hyperlink" Target="https://drive.google.com/drive/folders/1n_AYVjy9rxIBqNB3IlPNwukZBd-Fscci?usp=drive_link" TargetMode="External"/><Relationship Id="rId8" Type="http://schemas.openxmlformats.org/officeDocument/2006/relationships/hyperlink" Target="https://drive.google.com/file/d/1PkAiPEZ7VqHG07jIhYhqyYbrOPE-pqxP/view?usp=drive_link" TargetMode="External"/><Relationship Id="rId51" Type="http://schemas.openxmlformats.org/officeDocument/2006/relationships/hyperlink" Target="https://drive.google.com/drive/folders/1n_AYVjy9rxIBqNB3IlPNwukZBd-Fscci?usp=drive_link" TargetMode="External"/><Relationship Id="rId3" Type="http://schemas.openxmlformats.org/officeDocument/2006/relationships/hyperlink" Target="https://drive.google.com/file/d/1PkAiPEZ7VqHG07jIhYhqyYbrOPE-pqxP/view?usp=drive_link" TargetMode="External"/><Relationship Id="rId12" Type="http://schemas.openxmlformats.org/officeDocument/2006/relationships/hyperlink" Target="https://drive.google.com/drive/folders/1uZLZYvwV-JVTkv1ZOrfd-oa7BJYJUtL0?usp=drive_link" TargetMode="External"/><Relationship Id="rId17" Type="http://schemas.openxmlformats.org/officeDocument/2006/relationships/hyperlink" Target="https://drive.google.com/file/d/1iFpXPcluRklyafUo8pvGbv8hOrLG3xqM/view?usp=drive_link" TargetMode="External"/><Relationship Id="rId25" Type="http://schemas.openxmlformats.org/officeDocument/2006/relationships/hyperlink" Target="https://drive.google.com/file/d/1nMdRHmNBBZdIbJS0-K5g6zKiAokh7-_X/view?usp=drive_link" TargetMode="External"/><Relationship Id="rId33" Type="http://schemas.openxmlformats.org/officeDocument/2006/relationships/hyperlink" Target="https://drive.google.com/file/d/1X6dJgyk35MSczF2YVe-r7YX-zNu6926p/view" TargetMode="External"/><Relationship Id="rId38" Type="http://schemas.openxmlformats.org/officeDocument/2006/relationships/hyperlink" Target="https://drive.google.com/file/d/1X6dJgyk35MSczF2YVe-r7YX-zNu6926p/view" TargetMode="External"/><Relationship Id="rId46" Type="http://schemas.openxmlformats.org/officeDocument/2006/relationships/hyperlink" Target="https://drive.google.com/drive/folders/1n_AYVjy9rxIBqNB3IlPNwukZBd-Fscci?usp=drive_link" TargetMode="External"/><Relationship Id="rId59" Type="http://schemas.openxmlformats.org/officeDocument/2006/relationships/hyperlink" Target="https://drive.google.com/drive/folders/1n_AYVjy9rxIBqNB3IlPNwukZBd-Fscci?usp=drive_link" TargetMode="External"/><Relationship Id="rId20" Type="http://schemas.openxmlformats.org/officeDocument/2006/relationships/hyperlink" Target="https://drive.google.com/file/d/1TVOZ42TVJOd7YLLHFPEBuAUMTQokHTTY/view" TargetMode="External"/><Relationship Id="rId41" Type="http://schemas.openxmlformats.org/officeDocument/2006/relationships/hyperlink" Target="https://drive.google.com/file/d/1X6dJgyk35MSczF2YVe-r7YX-zNu6926p/view" TargetMode="External"/><Relationship Id="rId54" Type="http://schemas.openxmlformats.org/officeDocument/2006/relationships/hyperlink" Target="https://drive.google.com/drive/folders/1n_AYVjy9rxIBqNB3IlPNwukZBd-Fscci?usp=drive_link" TargetMode="External"/><Relationship Id="rId1" Type="http://schemas.openxmlformats.org/officeDocument/2006/relationships/hyperlink" Target="https://drive.google.com/file/d/1PkAiPEZ7VqHG07jIhYhqyYbrOPE-pqxP/view?usp=drive_link" TargetMode="External"/><Relationship Id="rId6" Type="http://schemas.openxmlformats.org/officeDocument/2006/relationships/hyperlink" Target="https://drive.google.com/drive/folders/1Bha77cmF1hd8dTXV5OrPaUs3TrLnALf1?usp=drive_link" TargetMode="External"/><Relationship Id="rId15" Type="http://schemas.openxmlformats.org/officeDocument/2006/relationships/hyperlink" Target="https://drive.google.com/drive/folders/1lYe8z2ZYYrQCz0bGN5lnzZVljK7nWfas?usp=drive_link" TargetMode="External"/><Relationship Id="rId23" Type="http://schemas.openxmlformats.org/officeDocument/2006/relationships/hyperlink" Target="https://drive.google.com/file/d/1TVOZ42TVJOd7YLLHFPEBuAUMTQokHTTY/view?usp=drive_link" TargetMode="External"/><Relationship Id="rId28" Type="http://schemas.openxmlformats.org/officeDocument/2006/relationships/hyperlink" Target="https://drive.google.com/file/d/1nMdRHmNBBZdIbJS0-K5g6zKiAokh7-_X/view" TargetMode="External"/><Relationship Id="rId36" Type="http://schemas.openxmlformats.org/officeDocument/2006/relationships/hyperlink" Target="https://drive.google.com/file/d/1X6dJgyk35MSczF2YVe-r7YX-zNu6926p/view" TargetMode="External"/><Relationship Id="rId49" Type="http://schemas.openxmlformats.org/officeDocument/2006/relationships/hyperlink" Target="https://drive.google.com/drive/folders/1n_AYVjy9rxIBqNB3IlPNwukZBd-Fscci?usp=drive_link" TargetMode="External"/><Relationship Id="rId57" Type="http://schemas.openxmlformats.org/officeDocument/2006/relationships/hyperlink" Target="https://drive.google.com/drive/folders/1n_AYVjy9rxIBqNB3IlPNwukZBd-Fscci?usp=drive_link" TargetMode="External"/><Relationship Id="rId10" Type="http://schemas.openxmlformats.org/officeDocument/2006/relationships/hyperlink" Target="https://drive.google.com/drive/folders/1EEHvL_LaWLL3hdMgc3sbwBIvNCs3TxyN?usp=drive_link" TargetMode="External"/><Relationship Id="rId31" Type="http://schemas.openxmlformats.org/officeDocument/2006/relationships/hyperlink" Target="https://drive.google.com/file/d/1zox-QZV9yooUxNEux38J0thjFvm3D_CU/view?usp=drive_link" TargetMode="External"/><Relationship Id="rId44" Type="http://schemas.openxmlformats.org/officeDocument/2006/relationships/hyperlink" Target="https://drive.google.com/file/d/1X6dJgyk35MSczF2YVe-r7YX-zNu6926p/view" TargetMode="External"/><Relationship Id="rId52" Type="http://schemas.openxmlformats.org/officeDocument/2006/relationships/hyperlink" Target="https://drive.google.com/drive/folders/1n_AYVjy9rxIBqNB3IlPNwukZBd-Fscci?usp=drive_link" TargetMode="External"/><Relationship Id="rId60" Type="http://schemas.openxmlformats.org/officeDocument/2006/relationships/hyperlink" Target="https://drive.google.com/drive/folders/1n_AYVjy9rxIBqNB3IlPNwukZBd-Fscci?usp=drive_link" TargetMode="External"/><Relationship Id="rId4" Type="http://schemas.openxmlformats.org/officeDocument/2006/relationships/hyperlink" Target="https://drive.google.com/file/d/1PkAiPEZ7VqHG07jIhYhqyYbrOPE-pqxP/view?usp=drive_link" TargetMode="External"/><Relationship Id="rId9" Type="http://schemas.openxmlformats.org/officeDocument/2006/relationships/hyperlink" Target="https://drive.google.com/file/d/1PkAiPEZ7VqHG07jIhYhqyYbrOPE-pqxP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aIdMVlilb6qUoXFQG9DwIj3F_8NiK8ys/view?usp=drive_link" TargetMode="External"/><Relationship Id="rId2" Type="http://schemas.openxmlformats.org/officeDocument/2006/relationships/hyperlink" Target="https://drive.google.com/file/d/1aIdMVlilb6qUoXFQG9DwIj3F_8NiK8ys/view?usp=drive_link" TargetMode="External"/><Relationship Id="rId1" Type="http://schemas.openxmlformats.org/officeDocument/2006/relationships/hyperlink" Target="https://drive.google.com/drive/folders/1sXzRbVd4cBKMdtQ1pM3FqtbKRYiQtiEu?usp=drive_link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Uzm7lu86XO9rwVHDAJhzfX2FdG_iWVrK?usp=drive_link" TargetMode="External"/><Relationship Id="rId13" Type="http://schemas.openxmlformats.org/officeDocument/2006/relationships/hyperlink" Target="https://drive.google.com/file/d/1p02rTcqZIeNrsH3RHmgz7sqYFfttfPuO/view?usp=drive_link" TargetMode="External"/><Relationship Id="rId18" Type="http://schemas.openxmlformats.org/officeDocument/2006/relationships/hyperlink" Target="https://drive.google.com/file/d/1p02rTcqZIeNrsH3RHmgz7sqYFfttfPuO/view?usp=drive_link" TargetMode="External"/><Relationship Id="rId3" Type="http://schemas.openxmlformats.org/officeDocument/2006/relationships/hyperlink" Target="https://drive.google.com/drive/folders/1mR18eHlku-78KzDng573TLaK6wQUATj6?usp=drive_link" TargetMode="External"/><Relationship Id="rId21" Type="http://schemas.openxmlformats.org/officeDocument/2006/relationships/hyperlink" Target="https://drive.google.com/drive/folders/1Uzm7lu86XO9rwVHDAJhzfX2FdG_iWVrK?usp=drive_link" TargetMode="External"/><Relationship Id="rId7" Type="http://schemas.openxmlformats.org/officeDocument/2006/relationships/hyperlink" Target="https://drive.google.com/drive/folders/1yQBsZyPvyNfoFdb_ZBGv_bEvHV-Ge83j?usp=drive_link" TargetMode="External"/><Relationship Id="rId12" Type="http://schemas.openxmlformats.org/officeDocument/2006/relationships/hyperlink" Target="https://drive.google.com/file/d/1p02rTcqZIeNrsH3RHmgz7sqYFfttfPuO/view?usp=drive_link" TargetMode="External"/><Relationship Id="rId17" Type="http://schemas.openxmlformats.org/officeDocument/2006/relationships/hyperlink" Target="https://drive.google.com/file/d/1p02rTcqZIeNrsH3RHmgz7sqYFfttfPuO/view?usp=drive_link" TargetMode="External"/><Relationship Id="rId2" Type="http://schemas.openxmlformats.org/officeDocument/2006/relationships/hyperlink" Target="https://drive.google.com/drive/folders/1_x8WjiuB2DIJaEXYljgdL_EtXn_vMoIm?usp=drive_link" TargetMode="External"/><Relationship Id="rId16" Type="http://schemas.openxmlformats.org/officeDocument/2006/relationships/hyperlink" Target="https://drive.google.com/file/d/1p02rTcqZIeNrsH3RHmgz7sqYFfttfPuO/view?usp=drive_link" TargetMode="External"/><Relationship Id="rId20" Type="http://schemas.openxmlformats.org/officeDocument/2006/relationships/hyperlink" Target="https://drive.google.com/file/d/1p02rTcqZIeNrsH3RHmgz7sqYFfttfPuO/view?usp=drive_link" TargetMode="External"/><Relationship Id="rId1" Type="http://schemas.openxmlformats.org/officeDocument/2006/relationships/hyperlink" Target="https://drive.google.com/drive/folders/1uVu7pvYcJuqvUCUkTE4NrtcikZP9-ZhJ?usp=drive_link" TargetMode="External"/><Relationship Id="rId6" Type="http://schemas.openxmlformats.org/officeDocument/2006/relationships/hyperlink" Target="https://drive.google.com/drive/folders/1Huh9tI0TyUFAxkm3hT_BOefePkKY0jwv?usp=drive_link" TargetMode="External"/><Relationship Id="rId11" Type="http://schemas.openxmlformats.org/officeDocument/2006/relationships/hyperlink" Target="https://drive.google.com/file/d/1p02rTcqZIeNrsH3RHmgz7sqYFfttfPuO/view?usp=drive_link" TargetMode="External"/><Relationship Id="rId5" Type="http://schemas.openxmlformats.org/officeDocument/2006/relationships/hyperlink" Target="https://drive.google.com/drive/folders/1JfrkR1SZpmknWi85IloNIXafBck5TUQC?usp=drive_link" TargetMode="External"/><Relationship Id="rId15" Type="http://schemas.openxmlformats.org/officeDocument/2006/relationships/hyperlink" Target="https://drive.google.com/file/d/1p02rTcqZIeNrsH3RHmgz7sqYFfttfPuO/view?usp=drive_link" TargetMode="External"/><Relationship Id="rId10" Type="http://schemas.openxmlformats.org/officeDocument/2006/relationships/hyperlink" Target="https://drive.google.com/drive/folders/1yQBsZyPvyNfoFdb_ZBGv_bEvHV-Ge83j?usp=drive_link" TargetMode="External"/><Relationship Id="rId19" Type="http://schemas.openxmlformats.org/officeDocument/2006/relationships/hyperlink" Target="https://drive.google.com/file/d/1p02rTcqZIeNrsH3RHmgz7sqYFfttfPuO/view?usp=drive_link" TargetMode="External"/><Relationship Id="rId4" Type="http://schemas.openxmlformats.org/officeDocument/2006/relationships/hyperlink" Target="https://drive.google.com/drive/folders/1Zb92fXk_eDBMW6cCOjIvdJbmmz-libIf?usp=drive_link" TargetMode="External"/><Relationship Id="rId9" Type="http://schemas.openxmlformats.org/officeDocument/2006/relationships/hyperlink" Target="https://drive.google.com/drive/folders/1gbwKxYj4hz0_mfh5camswxIjAyvbuiJk?usp=drive_link" TargetMode="External"/><Relationship Id="rId14" Type="http://schemas.openxmlformats.org/officeDocument/2006/relationships/hyperlink" Target="https://drive.google.com/file/d/1p02rTcqZIeNrsH3RHmgz7sqYFfttfPuO/view?usp=drive_link" TargetMode="External"/><Relationship Id="rId22" Type="http://schemas.openxmlformats.org/officeDocument/2006/relationships/hyperlink" Target="https://drive.google.com/drive/folders/1Uzm7lu86XO9rwVHDAJhzfX2FdG_iWVrK?usp=drive_link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lV2UYTJZdTed_45hQP7DqimnCCpGXZq/view?usp=drive_link" TargetMode="External"/><Relationship Id="rId3" Type="http://schemas.openxmlformats.org/officeDocument/2006/relationships/hyperlink" Target="https://drive.google.com/drive/folders/1Zw5BC7e_6aiojKagaSm_ly8MmqIt9c-T?usp=drive_link" TargetMode="External"/><Relationship Id="rId7" Type="http://schemas.openxmlformats.org/officeDocument/2006/relationships/hyperlink" Target="https://drive.google.com/drive/folders/1pMcAq_DhhZyq-XkkqCJlzDXPay8fIWD9?usp=drive_link" TargetMode="External"/><Relationship Id="rId2" Type="http://schemas.openxmlformats.org/officeDocument/2006/relationships/hyperlink" Target="https://www.soy502.com/static/tarifario_impreso/" TargetMode="External"/><Relationship Id="rId1" Type="http://schemas.openxmlformats.org/officeDocument/2006/relationships/hyperlink" Target="https://drive.google.com/file/d/11KE4vRqloYPXGPXbWzBzWS9W2hcacu7A/view?usp=drive_link" TargetMode="External"/><Relationship Id="rId6" Type="http://schemas.openxmlformats.org/officeDocument/2006/relationships/hyperlink" Target="https://drive.google.com/drive/folders/1ckgM3jeDvODJcERH3rR6JjSKjWYuN593?usp=sharing" TargetMode="External"/><Relationship Id="rId5" Type="http://schemas.openxmlformats.org/officeDocument/2006/relationships/hyperlink" Target="https://drive.google.com/drive/folders/1To7zTrxhWfvAh-yGbFDYkLnoYgIkS9En?usp=drive_link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drive.google.com/drive/folders/1tmwAZNv-1tYf4uMapZcSIfT_y2Im0zPY?usp=drive_link" TargetMode="External"/><Relationship Id="rId9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kgM3jeDvODJcERH3rR6JjSKjWYuN593?usp=drive_link" TargetMode="External"/><Relationship Id="rId13" Type="http://schemas.openxmlformats.org/officeDocument/2006/relationships/hyperlink" Target="https://drive.google.com/file/d/1YEBhuECpGlugEH7eq6lR5lo82uk7UH9j/view?usp=drive_link" TargetMode="External"/><Relationship Id="rId3" Type="http://schemas.openxmlformats.org/officeDocument/2006/relationships/hyperlink" Target="https://drive.google.com/drive/folders/1vEXzEZtm1owPYmvBuS4_vQz8-8qynl2r?usp=drive_link" TargetMode="External"/><Relationship Id="rId7" Type="http://schemas.openxmlformats.org/officeDocument/2006/relationships/hyperlink" Target="https://drive.google.com/drive/folders/1SUZ4pBjy6X8BFS908j5-E3d1lZC_kvFF?usp=drive_link" TargetMode="External"/><Relationship Id="rId12" Type="http://schemas.openxmlformats.org/officeDocument/2006/relationships/hyperlink" Target="https://drive.google.com/file/d/1YEBhuECpGlugEH7eq6lR5lo82uk7UH9j/view?usp=drive_link" TargetMode="External"/><Relationship Id="rId17" Type="http://schemas.openxmlformats.org/officeDocument/2006/relationships/hyperlink" Target="https://drive.google.com/file/d/1YEBhuECpGlugEH7eq6lR5lo82uk7UH9j/view?usp=drive_link" TargetMode="External"/><Relationship Id="rId2" Type="http://schemas.openxmlformats.org/officeDocument/2006/relationships/hyperlink" Target="https://drive.google.com/drive/folders/1VdxPPUcMdiunrE-UG_8r0nSCOO59z9-t?usp=drive_link" TargetMode="External"/><Relationship Id="rId16" Type="http://schemas.openxmlformats.org/officeDocument/2006/relationships/hyperlink" Target="https://drive.google.com/file/d/1YEBhuECpGlugEH7eq6lR5lo82uk7UH9j/view?usp=drive_link" TargetMode="External"/><Relationship Id="rId1" Type="http://schemas.openxmlformats.org/officeDocument/2006/relationships/hyperlink" Target="https://drive.google.com/drive/folders/1dLsIlzmGnLys7b_nlcLLLd9uMN46f_4n?usp=drive_link" TargetMode="External"/><Relationship Id="rId6" Type="http://schemas.openxmlformats.org/officeDocument/2006/relationships/hyperlink" Target="https://drive.google.com/drive/folders/1-5--e60lQnOW_oQGI4sX0hz3KgBDtKyP?usp=drive_link" TargetMode="External"/><Relationship Id="rId11" Type="http://schemas.openxmlformats.org/officeDocument/2006/relationships/hyperlink" Target="https://drive.google.com/file/d/1YEBhuECpGlugEH7eq6lR5lo82uk7UH9j/view?usp=drive_link" TargetMode="External"/><Relationship Id="rId5" Type="http://schemas.openxmlformats.org/officeDocument/2006/relationships/hyperlink" Target="https://drive.google.com/drive/folders/1E2OOtxZnLXdiUfKct_IRfrRUOs2lraa7" TargetMode="External"/><Relationship Id="rId15" Type="http://schemas.openxmlformats.org/officeDocument/2006/relationships/hyperlink" Target="https://drive.google.com/file/d/1YEBhuECpGlugEH7eq6lR5lo82uk7UH9j/view?usp=drive_link" TargetMode="External"/><Relationship Id="rId10" Type="http://schemas.openxmlformats.org/officeDocument/2006/relationships/hyperlink" Target="https://drive.google.com/drive/folders/11ejrSMoycdDnYJ6wza9Ev4WbBgUMiAJR" TargetMode="External"/><Relationship Id="rId4" Type="http://schemas.openxmlformats.org/officeDocument/2006/relationships/hyperlink" Target="https://drive.google.com/drive/folders/1vUjxSvnbImSkJ9jgYxWL2mfUvSDRh6le?usp=drive_link" TargetMode="External"/><Relationship Id="rId9" Type="http://schemas.openxmlformats.org/officeDocument/2006/relationships/hyperlink" Target="https://drive.google.com/file/d/1siI5ynLngfscYVcR1mn0ahpg850Dgr1n/view?usp=drive_link" TargetMode="External"/><Relationship Id="rId14" Type="http://schemas.openxmlformats.org/officeDocument/2006/relationships/hyperlink" Target="https://drive.google.com/file/d/1YEBhuECpGlugEH7eq6lR5lo82uk7UH9j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Wwjm52sEM4xpi53idtSjSiaRW_D_jzkr/view?usp=drive_link" TargetMode="External"/><Relationship Id="rId2" Type="http://schemas.openxmlformats.org/officeDocument/2006/relationships/hyperlink" Target="https://drive.google.com/file/d/1vaF-qNtW_bMK0g5qtPkEIFbNUpNzE-t_/view?usp=drive_link" TargetMode="External"/><Relationship Id="rId1" Type="http://schemas.openxmlformats.org/officeDocument/2006/relationships/hyperlink" Target="http://guatemala.com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drive.google.com/file/d/1CgA2EUjyVcuxwmv_WsrnRZsVysUvFBO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workbookViewId="0">
      <pane ySplit="2" topLeftCell="A3" activePane="bottomLeft" state="frozen"/>
      <selection pane="bottomLeft" activeCell="D17" sqref="D17"/>
    </sheetView>
  </sheetViews>
  <sheetFormatPr baseColWidth="10" defaultColWidth="11.1640625" defaultRowHeight="15" customHeight="1"/>
  <cols>
    <col min="1" max="1" width="5.5" customWidth="1"/>
    <col min="2" max="2" width="8.33203125" customWidth="1"/>
    <col min="3" max="3" width="21.83203125" customWidth="1"/>
    <col min="4" max="4" width="10.5" customWidth="1"/>
    <col min="5" max="5" width="31.5" customWidth="1"/>
    <col min="6" max="6" width="46" customWidth="1"/>
    <col min="7" max="7" width="12.33203125" customWidth="1"/>
    <col min="8" max="8" width="15.83203125" customWidth="1"/>
    <col min="9" max="9" width="10.5" customWidth="1"/>
    <col min="10" max="10" width="20.33203125" customWidth="1"/>
    <col min="11" max="11" width="10.83203125" customWidth="1"/>
    <col min="12" max="12" width="59.33203125" customWidth="1"/>
    <col min="13" max="23" width="10.5" customWidth="1"/>
  </cols>
  <sheetData>
    <row r="1" spans="1:23" ht="36" customHeight="1">
      <c r="A1" s="45" t="s">
        <v>0</v>
      </c>
      <c r="B1" s="50"/>
      <c r="C1" s="46"/>
      <c r="D1" s="46"/>
      <c r="E1" s="46"/>
      <c r="F1" s="46"/>
      <c r="G1" s="46"/>
      <c r="H1" s="4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2" t="s">
        <v>2</v>
      </c>
      <c r="B2" s="3" t="s">
        <v>1091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4">
        <v>1</v>
      </c>
      <c r="B3" s="4" t="s">
        <v>816</v>
      </c>
      <c r="C3" s="5" t="s">
        <v>15</v>
      </c>
      <c r="D3" s="4">
        <v>324183</v>
      </c>
      <c r="E3" s="7" t="s">
        <v>18</v>
      </c>
      <c r="F3" s="8" t="s">
        <v>20</v>
      </c>
      <c r="G3" s="10" t="s">
        <v>22</v>
      </c>
      <c r="H3" s="10">
        <v>169470136</v>
      </c>
      <c r="I3" s="4" t="s">
        <v>25</v>
      </c>
      <c r="J3" s="4" t="s">
        <v>26</v>
      </c>
      <c r="K3" s="4" t="s">
        <v>27</v>
      </c>
      <c r="L3" s="4" t="s">
        <v>28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4">
        <v>2</v>
      </c>
      <c r="B4" s="4" t="s">
        <v>817</v>
      </c>
      <c r="C4" s="6" t="s">
        <v>30</v>
      </c>
      <c r="D4" s="4">
        <v>325066</v>
      </c>
      <c r="E4" s="7" t="s">
        <v>35</v>
      </c>
      <c r="F4" s="8" t="s">
        <v>36</v>
      </c>
      <c r="G4" s="10" t="s">
        <v>22</v>
      </c>
      <c r="H4" s="10">
        <v>418839388</v>
      </c>
      <c r="I4" s="4" t="s">
        <v>25</v>
      </c>
      <c r="J4" s="4" t="s">
        <v>26</v>
      </c>
      <c r="K4" s="4" t="s">
        <v>27</v>
      </c>
      <c r="L4" s="4" t="s">
        <v>28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4">
        <v>3</v>
      </c>
      <c r="B5" s="4" t="s">
        <v>818</v>
      </c>
      <c r="C5" s="5" t="s">
        <v>38</v>
      </c>
      <c r="D5" s="13">
        <v>673072</v>
      </c>
      <c r="E5" s="7" t="s">
        <v>48</v>
      </c>
      <c r="F5" s="8" t="s">
        <v>49</v>
      </c>
      <c r="G5" s="10" t="s">
        <v>22</v>
      </c>
      <c r="H5" s="10">
        <v>72489142</v>
      </c>
      <c r="I5" s="4" t="s">
        <v>50</v>
      </c>
      <c r="J5" s="4" t="s">
        <v>26</v>
      </c>
      <c r="K5" s="4" t="s">
        <v>52</v>
      </c>
      <c r="L5" s="4" t="s">
        <v>53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4">
        <v>4</v>
      </c>
      <c r="B6" s="4" t="s">
        <v>819</v>
      </c>
      <c r="C6" s="6" t="s">
        <v>54</v>
      </c>
      <c r="D6" s="13">
        <v>1536052</v>
      </c>
      <c r="E6" s="7" t="s">
        <v>61</v>
      </c>
      <c r="F6" s="8" t="s">
        <v>62</v>
      </c>
      <c r="G6" s="10" t="s">
        <v>22</v>
      </c>
      <c r="H6" s="10">
        <v>70308942</v>
      </c>
      <c r="I6" s="4" t="s">
        <v>64</v>
      </c>
      <c r="J6" s="4" t="s">
        <v>26</v>
      </c>
      <c r="K6" s="4" t="s">
        <v>65</v>
      </c>
      <c r="L6" s="4" t="s">
        <v>66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4">
        <v>5</v>
      </c>
      <c r="B7" s="4" t="s">
        <v>820</v>
      </c>
      <c r="C7" s="5" t="s">
        <v>67</v>
      </c>
      <c r="D7" s="4">
        <v>325066</v>
      </c>
      <c r="E7" s="7" t="s">
        <v>35</v>
      </c>
      <c r="F7" s="8" t="s">
        <v>68</v>
      </c>
      <c r="G7" s="10" t="s">
        <v>22</v>
      </c>
      <c r="H7" s="10">
        <v>130306330</v>
      </c>
      <c r="I7" s="4" t="s">
        <v>69</v>
      </c>
      <c r="J7" s="4" t="s">
        <v>26</v>
      </c>
      <c r="K7" s="4" t="s">
        <v>70</v>
      </c>
      <c r="L7" s="4" t="s">
        <v>28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4">
        <v>6</v>
      </c>
      <c r="B8" s="4" t="s">
        <v>821</v>
      </c>
      <c r="C8" s="6" t="s">
        <v>74</v>
      </c>
      <c r="D8" s="14">
        <v>31576281</v>
      </c>
      <c r="E8" s="8" t="s">
        <v>77</v>
      </c>
      <c r="F8" s="8" t="s">
        <v>78</v>
      </c>
      <c r="G8" s="10" t="s">
        <v>22</v>
      </c>
      <c r="H8" s="10"/>
      <c r="I8" s="4" t="s">
        <v>81</v>
      </c>
      <c r="J8" s="4" t="s">
        <v>26</v>
      </c>
      <c r="K8" s="4" t="s">
        <v>83</v>
      </c>
      <c r="L8" s="4" t="s">
        <v>85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4">
        <v>7</v>
      </c>
      <c r="B9" s="4" t="s">
        <v>822</v>
      </c>
      <c r="C9" s="5" t="s">
        <v>86</v>
      </c>
      <c r="D9" s="4">
        <v>58949674</v>
      </c>
      <c r="E9" s="8" t="s">
        <v>94</v>
      </c>
      <c r="F9" s="4" t="s">
        <v>95</v>
      </c>
      <c r="G9" s="10" t="s">
        <v>22</v>
      </c>
      <c r="H9" s="10">
        <v>75618884</v>
      </c>
      <c r="I9" s="4"/>
      <c r="J9" s="4" t="s">
        <v>26</v>
      </c>
      <c r="K9" s="4" t="s">
        <v>100</v>
      </c>
      <c r="L9" s="4" t="s">
        <v>102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4" customHeight="1">
      <c r="A10" s="4">
        <v>8</v>
      </c>
      <c r="B10" s="4" t="s">
        <v>823</v>
      </c>
      <c r="C10" s="5" t="s">
        <v>103</v>
      </c>
      <c r="D10" s="13">
        <v>90072383</v>
      </c>
      <c r="E10" s="7" t="s">
        <v>111</v>
      </c>
      <c r="F10" s="4" t="s">
        <v>112</v>
      </c>
      <c r="G10" s="10" t="s">
        <v>22</v>
      </c>
      <c r="H10" s="10">
        <v>309000</v>
      </c>
      <c r="I10" s="4" t="s">
        <v>113</v>
      </c>
      <c r="J10" s="4" t="s">
        <v>114</v>
      </c>
      <c r="K10" s="14" t="s">
        <v>46</v>
      </c>
      <c r="L10" s="8" t="s">
        <v>115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4">
        <v>9</v>
      </c>
      <c r="B11" s="4" t="s">
        <v>824</v>
      </c>
      <c r="C11" s="5" t="s">
        <v>120</v>
      </c>
      <c r="D11" s="4" t="s">
        <v>123</v>
      </c>
      <c r="E11" s="7" t="s">
        <v>124</v>
      </c>
      <c r="F11" s="4" t="s">
        <v>125</v>
      </c>
      <c r="G11" s="10" t="s">
        <v>22</v>
      </c>
      <c r="H11" s="10">
        <v>660000</v>
      </c>
      <c r="I11" s="8" t="s">
        <v>126</v>
      </c>
      <c r="J11" s="4" t="s">
        <v>26</v>
      </c>
      <c r="K11" s="8" t="s">
        <v>127</v>
      </c>
      <c r="L11" s="8" t="s">
        <v>128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1"/>
      <c r="C12" s="1"/>
      <c r="D12" s="1"/>
      <c r="E12" s="1"/>
      <c r="F12" s="1"/>
      <c r="G12" s="16"/>
      <c r="H12" s="16"/>
      <c r="I12" s="1"/>
      <c r="J12" s="1"/>
      <c r="K12" s="1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1"/>
      <c r="C13" s="1"/>
      <c r="D13" s="1"/>
      <c r="E13" s="1"/>
      <c r="F13" s="1"/>
      <c r="G13" s="16"/>
      <c r="H13" s="1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"/>
      <c r="B14" s="1"/>
      <c r="C14" s="1"/>
      <c r="D14" s="1"/>
      <c r="E14" s="1"/>
      <c r="F14" s="1"/>
      <c r="G14" s="16"/>
      <c r="H14" s="1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1"/>
      <c r="C15" s="1"/>
      <c r="D15" s="1"/>
      <c r="E15" s="1"/>
      <c r="F15" s="1"/>
      <c r="G15" s="16"/>
      <c r="H15" s="1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autoFilter ref="A2:W15" xr:uid="{00000000-0009-0000-0000-000000000000}"/>
  <mergeCells count="1">
    <mergeCell ref="A1:H1"/>
  </mergeCells>
  <phoneticPr fontId="24" type="noConversion"/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1"/>
  <sheetViews>
    <sheetView workbookViewId="0">
      <pane ySplit="2" topLeftCell="A61" activePane="bottomLeft" state="frozen"/>
      <selection pane="bottomLeft" activeCell="A2" sqref="A2"/>
    </sheetView>
  </sheetViews>
  <sheetFormatPr baseColWidth="10" defaultColWidth="11.1640625" defaultRowHeight="15" customHeight="1"/>
  <cols>
    <col min="2" max="2" width="5.6640625" customWidth="1"/>
    <col min="3" max="3" width="22.83203125" customWidth="1"/>
    <col min="4" max="4" width="9.1640625" customWidth="1"/>
    <col min="5" max="5" width="24" customWidth="1"/>
    <col min="6" max="6" width="33.33203125" customWidth="1"/>
    <col min="7" max="7" width="28.83203125" customWidth="1"/>
    <col min="8" max="8" width="9.1640625" customWidth="1"/>
    <col min="9" max="9" width="12" customWidth="1"/>
    <col min="10" max="11" width="10.1640625" customWidth="1"/>
    <col min="12" max="12" width="30.33203125" customWidth="1"/>
    <col min="13" max="24" width="10.5" customWidth="1"/>
  </cols>
  <sheetData>
    <row r="1" spans="1:24" ht="30.75" customHeight="1">
      <c r="B1" s="45" t="s">
        <v>1</v>
      </c>
      <c r="C1" s="46"/>
      <c r="D1" s="46"/>
      <c r="E1" s="46"/>
      <c r="F1" s="46"/>
      <c r="G1" s="46"/>
      <c r="H1" s="46"/>
      <c r="I1" s="46"/>
      <c r="J1" s="46"/>
      <c r="K1" s="46"/>
      <c r="L1" s="4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>
      <c r="A2" s="3" t="s">
        <v>1091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13</v>
      </c>
      <c r="I2" s="2" t="s">
        <v>14</v>
      </c>
      <c r="J2" s="2" t="s">
        <v>16</v>
      </c>
      <c r="K2" s="2" t="s">
        <v>11</v>
      </c>
      <c r="L2" s="2" t="s">
        <v>12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>
      <c r="A3" s="51" t="s">
        <v>825</v>
      </c>
      <c r="B3" s="4">
        <v>1</v>
      </c>
      <c r="C3" s="6" t="s">
        <v>17</v>
      </c>
      <c r="D3" s="4" t="s">
        <v>19</v>
      </c>
      <c r="E3" s="9" t="s">
        <v>21</v>
      </c>
      <c r="F3" s="4" t="s">
        <v>23</v>
      </c>
      <c r="G3" s="4" t="s">
        <v>24</v>
      </c>
      <c r="H3" s="10">
        <v>1001663</v>
      </c>
      <c r="I3" s="4" t="s">
        <v>29</v>
      </c>
      <c r="J3" s="4" t="s">
        <v>26</v>
      </c>
      <c r="K3" s="4" t="s">
        <v>27</v>
      </c>
      <c r="L3" s="4" t="s">
        <v>31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>
      <c r="A4" s="53" t="s">
        <v>826</v>
      </c>
      <c r="B4" s="52">
        <v>2</v>
      </c>
      <c r="C4" s="6" t="s">
        <v>32</v>
      </c>
      <c r="D4" s="4" t="s">
        <v>19</v>
      </c>
      <c r="E4" s="9" t="s">
        <v>21</v>
      </c>
      <c r="F4" s="4" t="s">
        <v>33</v>
      </c>
      <c r="G4" s="4" t="s">
        <v>24</v>
      </c>
      <c r="H4" s="10">
        <v>1001663</v>
      </c>
      <c r="I4" s="4" t="s">
        <v>34</v>
      </c>
      <c r="J4" s="4" t="s">
        <v>26</v>
      </c>
      <c r="K4" s="4" t="s">
        <v>27</v>
      </c>
      <c r="L4" s="4" t="s">
        <v>31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>
      <c r="A5" s="53" t="s">
        <v>827</v>
      </c>
      <c r="B5" s="52">
        <v>3</v>
      </c>
      <c r="C5" s="5" t="s">
        <v>37</v>
      </c>
      <c r="D5" s="4" t="s">
        <v>19</v>
      </c>
      <c r="E5" s="11" t="s">
        <v>21</v>
      </c>
      <c r="F5" s="4" t="s">
        <v>39</v>
      </c>
      <c r="G5" s="4" t="s">
        <v>40</v>
      </c>
      <c r="H5" s="10">
        <v>510057</v>
      </c>
      <c r="I5" s="4" t="s">
        <v>41</v>
      </c>
      <c r="J5" s="4" t="s">
        <v>26</v>
      </c>
      <c r="K5" s="4" t="s">
        <v>27</v>
      </c>
      <c r="L5" s="4" t="s">
        <v>42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>
      <c r="A6" s="53" t="s">
        <v>828</v>
      </c>
      <c r="B6" s="52">
        <v>4</v>
      </c>
      <c r="C6" s="6" t="s">
        <v>43</v>
      </c>
      <c r="D6" s="4" t="s">
        <v>19</v>
      </c>
      <c r="E6" s="9" t="s">
        <v>21</v>
      </c>
      <c r="F6" s="12" t="s">
        <v>44</v>
      </c>
      <c r="G6" s="4" t="s">
        <v>45</v>
      </c>
      <c r="H6" s="10">
        <v>323055</v>
      </c>
      <c r="I6" s="4" t="s">
        <v>41</v>
      </c>
      <c r="J6" s="4" t="s">
        <v>26</v>
      </c>
      <c r="K6" s="4" t="s">
        <v>46</v>
      </c>
      <c r="L6" s="4" t="s">
        <v>47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>
      <c r="A7" s="53" t="s">
        <v>829</v>
      </c>
      <c r="B7" s="52">
        <v>5</v>
      </c>
      <c r="C7" s="6" t="s">
        <v>51</v>
      </c>
      <c r="D7" s="4">
        <v>109478460</v>
      </c>
      <c r="E7" s="4" t="s">
        <v>55</v>
      </c>
      <c r="F7" s="4" t="s">
        <v>56</v>
      </c>
      <c r="G7" s="4" t="s">
        <v>57</v>
      </c>
      <c r="H7" s="10">
        <v>167319</v>
      </c>
      <c r="I7" s="4" t="s">
        <v>58</v>
      </c>
      <c r="J7" s="4" t="s">
        <v>26</v>
      </c>
      <c r="K7" s="4" t="s">
        <v>59</v>
      </c>
      <c r="L7" s="4" t="s">
        <v>60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>
      <c r="A8" s="53" t="s">
        <v>830</v>
      </c>
      <c r="B8" s="52">
        <v>6</v>
      </c>
      <c r="C8" s="5" t="s">
        <v>63</v>
      </c>
      <c r="D8" s="4">
        <v>4070704</v>
      </c>
      <c r="E8" s="4" t="s">
        <v>71</v>
      </c>
      <c r="F8" s="4" t="s">
        <v>72</v>
      </c>
      <c r="G8" s="4" t="s">
        <v>73</v>
      </c>
      <c r="H8" s="10">
        <v>150000</v>
      </c>
      <c r="I8" s="4" t="s">
        <v>75</v>
      </c>
      <c r="J8" s="4" t="s">
        <v>26</v>
      </c>
      <c r="K8" s="4" t="s">
        <v>59</v>
      </c>
      <c r="L8" s="4" t="s">
        <v>60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>
      <c r="A9" s="53" t="s">
        <v>831</v>
      </c>
      <c r="B9" s="52">
        <v>7</v>
      </c>
      <c r="C9" s="5" t="s">
        <v>76</v>
      </c>
      <c r="D9" s="4">
        <v>1071041</v>
      </c>
      <c r="E9" s="4" t="s">
        <v>79</v>
      </c>
      <c r="F9" s="4" t="s">
        <v>80</v>
      </c>
      <c r="G9" s="4" t="s">
        <v>73</v>
      </c>
      <c r="H9" s="10">
        <v>55000</v>
      </c>
      <c r="I9" s="4" t="s">
        <v>82</v>
      </c>
      <c r="J9" s="4" t="s">
        <v>26</v>
      </c>
      <c r="K9" s="4" t="s">
        <v>84</v>
      </c>
      <c r="L9" s="4" t="s">
        <v>60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>
      <c r="A10" s="53" t="s">
        <v>832</v>
      </c>
      <c r="B10" s="52">
        <v>8</v>
      </c>
      <c r="C10" s="6" t="s">
        <v>87</v>
      </c>
      <c r="D10" s="4">
        <v>7000499</v>
      </c>
      <c r="E10" s="4" t="s">
        <v>88</v>
      </c>
      <c r="F10" s="4" t="s">
        <v>89</v>
      </c>
      <c r="G10" s="4" t="s">
        <v>90</v>
      </c>
      <c r="H10" s="10">
        <v>287652</v>
      </c>
      <c r="I10" s="4" t="s">
        <v>91</v>
      </c>
      <c r="J10" s="4" t="s">
        <v>26</v>
      </c>
      <c r="K10" s="4" t="s">
        <v>27</v>
      </c>
      <c r="L10" s="4" t="s">
        <v>92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>
      <c r="A11" s="53" t="s">
        <v>833</v>
      </c>
      <c r="B11" s="52">
        <v>9</v>
      </c>
      <c r="C11" s="6" t="s">
        <v>93</v>
      </c>
      <c r="D11" s="4">
        <v>7000499</v>
      </c>
      <c r="E11" s="9" t="s">
        <v>21</v>
      </c>
      <c r="F11" s="4" t="s">
        <v>96</v>
      </c>
      <c r="G11" s="4" t="s">
        <v>97</v>
      </c>
      <c r="H11" s="10">
        <v>434468</v>
      </c>
      <c r="I11" s="4" t="s">
        <v>98</v>
      </c>
      <c r="J11" s="4" t="s">
        <v>26</v>
      </c>
      <c r="K11" s="4" t="s">
        <v>99</v>
      </c>
      <c r="L11" s="4" t="s">
        <v>101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>
      <c r="A12" s="53" t="s">
        <v>834</v>
      </c>
      <c r="B12" s="52">
        <v>10</v>
      </c>
      <c r="C12" s="4" t="s">
        <v>104</v>
      </c>
      <c r="D12" s="4">
        <v>5919851</v>
      </c>
      <c r="E12" s="4" t="s">
        <v>105</v>
      </c>
      <c r="F12" s="4" t="s">
        <v>106</v>
      </c>
      <c r="G12" s="4" t="s">
        <v>107</v>
      </c>
      <c r="H12" s="10">
        <v>12000</v>
      </c>
      <c r="I12" s="4" t="s">
        <v>108</v>
      </c>
      <c r="J12" s="4" t="s">
        <v>26</v>
      </c>
      <c r="K12" s="4" t="s">
        <v>109</v>
      </c>
      <c r="L12" s="4" t="s">
        <v>60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>
      <c r="A13" s="53" t="s">
        <v>835</v>
      </c>
      <c r="B13" s="52">
        <v>11</v>
      </c>
      <c r="C13" s="5" t="s">
        <v>110</v>
      </c>
      <c r="D13" s="4">
        <v>113366116</v>
      </c>
      <c r="E13" s="4" t="s">
        <v>116</v>
      </c>
      <c r="F13" s="4" t="s">
        <v>117</v>
      </c>
      <c r="G13" s="4" t="s">
        <v>118</v>
      </c>
      <c r="H13" s="10">
        <v>217000</v>
      </c>
      <c r="I13" s="4" t="s">
        <v>119</v>
      </c>
      <c r="J13" s="15">
        <v>1</v>
      </c>
      <c r="K13" s="4" t="s">
        <v>121</v>
      </c>
      <c r="L13" s="4" t="s">
        <v>60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>
      <c r="A14" s="53" t="s">
        <v>836</v>
      </c>
      <c r="B14" s="52">
        <v>12</v>
      </c>
      <c r="C14" s="5" t="s">
        <v>122</v>
      </c>
      <c r="D14" s="4">
        <v>4741501</v>
      </c>
      <c r="E14" s="4" t="s">
        <v>129</v>
      </c>
      <c r="F14" s="4" t="s">
        <v>130</v>
      </c>
      <c r="G14" s="4" t="s">
        <v>131</v>
      </c>
      <c r="H14" s="10">
        <v>18000</v>
      </c>
      <c r="I14" s="4" t="s">
        <v>132</v>
      </c>
      <c r="J14" s="4" t="s">
        <v>26</v>
      </c>
      <c r="K14" s="4" t="s">
        <v>133</v>
      </c>
      <c r="L14" s="4" t="s">
        <v>60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>
      <c r="A15" s="53" t="s">
        <v>837</v>
      </c>
      <c r="B15" s="52">
        <v>13</v>
      </c>
      <c r="C15" s="6" t="s">
        <v>134</v>
      </c>
      <c r="D15" s="4">
        <v>5937485</v>
      </c>
      <c r="E15" s="4" t="s">
        <v>135</v>
      </c>
      <c r="F15" s="4" t="s">
        <v>136</v>
      </c>
      <c r="G15" s="4" t="s">
        <v>137</v>
      </c>
      <c r="H15" s="10">
        <v>177000</v>
      </c>
      <c r="I15" s="4" t="s">
        <v>132</v>
      </c>
      <c r="J15" s="15">
        <v>0.25</v>
      </c>
      <c r="K15" s="4" t="s">
        <v>138</v>
      </c>
      <c r="L15" s="4" t="s">
        <v>60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>
      <c r="A16" s="53" t="s">
        <v>838</v>
      </c>
      <c r="B16" s="52">
        <v>14</v>
      </c>
      <c r="C16" s="6" t="s">
        <v>139</v>
      </c>
      <c r="D16" s="4">
        <v>4605071</v>
      </c>
      <c r="E16" s="4" t="s">
        <v>140</v>
      </c>
      <c r="F16" s="4" t="s">
        <v>141</v>
      </c>
      <c r="G16" s="4" t="s">
        <v>142</v>
      </c>
      <c r="H16" s="10">
        <v>14000</v>
      </c>
      <c r="I16" s="4" t="s">
        <v>143</v>
      </c>
      <c r="J16" s="4" t="s">
        <v>26</v>
      </c>
      <c r="K16" s="8" t="s">
        <v>144</v>
      </c>
      <c r="L16" s="4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>
      <c r="A17" s="53" t="s">
        <v>839</v>
      </c>
      <c r="B17" s="52">
        <v>15</v>
      </c>
      <c r="C17" s="6" t="s">
        <v>145</v>
      </c>
      <c r="D17" s="4">
        <v>4605071</v>
      </c>
      <c r="E17" s="4" t="s">
        <v>140</v>
      </c>
      <c r="F17" s="4" t="s">
        <v>146</v>
      </c>
      <c r="G17" s="4" t="s">
        <v>147</v>
      </c>
      <c r="H17" s="10">
        <v>14000</v>
      </c>
      <c r="I17" s="4" t="s">
        <v>148</v>
      </c>
      <c r="J17" s="4" t="s">
        <v>26</v>
      </c>
      <c r="K17" s="8" t="s">
        <v>144</v>
      </c>
      <c r="L17" s="4" t="s">
        <v>60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>
      <c r="A18" s="53" t="s">
        <v>840</v>
      </c>
      <c r="B18" s="52">
        <v>16</v>
      </c>
      <c r="C18" s="4" t="s">
        <v>149</v>
      </c>
      <c r="D18" s="4" t="s">
        <v>19</v>
      </c>
      <c r="E18" s="9" t="s">
        <v>21</v>
      </c>
      <c r="F18" s="4" t="s">
        <v>150</v>
      </c>
      <c r="G18" s="4" t="s">
        <v>151</v>
      </c>
      <c r="H18" s="4"/>
      <c r="I18" s="4" t="s">
        <v>98</v>
      </c>
      <c r="J18" s="4" t="s">
        <v>26</v>
      </c>
      <c r="K18" s="4" t="s">
        <v>152</v>
      </c>
      <c r="L18" s="4" t="s">
        <v>153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>
      <c r="A19" s="53" t="s">
        <v>841</v>
      </c>
      <c r="B19" s="52">
        <v>17</v>
      </c>
      <c r="C19" s="6" t="s">
        <v>154</v>
      </c>
      <c r="D19" s="4">
        <v>4605071</v>
      </c>
      <c r="E19" s="4" t="s">
        <v>140</v>
      </c>
      <c r="F19" s="4" t="s">
        <v>141</v>
      </c>
      <c r="G19" s="4" t="s">
        <v>155</v>
      </c>
      <c r="H19" s="10">
        <v>14000</v>
      </c>
      <c r="I19" s="4" t="s">
        <v>148</v>
      </c>
      <c r="J19" s="4" t="s">
        <v>26</v>
      </c>
      <c r="K19" s="8" t="s">
        <v>144</v>
      </c>
      <c r="L19" s="4" t="s">
        <v>60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53" t="s">
        <v>842</v>
      </c>
      <c r="B20" s="52">
        <v>18</v>
      </c>
      <c r="C20" s="6" t="s">
        <v>156</v>
      </c>
      <c r="D20" s="4">
        <v>4605071</v>
      </c>
      <c r="E20" s="4" t="s">
        <v>140</v>
      </c>
      <c r="F20" s="4" t="s">
        <v>157</v>
      </c>
      <c r="G20" s="4" t="s">
        <v>158</v>
      </c>
      <c r="H20" s="10">
        <v>15000</v>
      </c>
      <c r="I20" s="4" t="s">
        <v>159</v>
      </c>
      <c r="J20" s="4" t="s">
        <v>26</v>
      </c>
      <c r="K20" s="8" t="s">
        <v>144</v>
      </c>
      <c r="L20" s="4" t="s">
        <v>160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53" t="s">
        <v>843</v>
      </c>
      <c r="B21" s="52">
        <v>19</v>
      </c>
      <c r="C21" s="4" t="s">
        <v>161</v>
      </c>
      <c r="D21" s="4">
        <v>4593855</v>
      </c>
      <c r="E21" s="6" t="s">
        <v>162</v>
      </c>
      <c r="F21" s="4" t="s">
        <v>163</v>
      </c>
      <c r="G21" s="4" t="s">
        <v>164</v>
      </c>
      <c r="H21" s="10">
        <v>17991</v>
      </c>
      <c r="I21" s="17">
        <v>3.6</v>
      </c>
      <c r="J21" s="4" t="s">
        <v>26</v>
      </c>
      <c r="K21" s="4" t="s">
        <v>165</v>
      </c>
      <c r="L21" s="4" t="s">
        <v>166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53" t="s">
        <v>844</v>
      </c>
      <c r="B22" s="52">
        <v>20</v>
      </c>
      <c r="C22" s="4" t="s">
        <v>167</v>
      </c>
      <c r="D22" s="4">
        <v>15824969</v>
      </c>
      <c r="E22" s="6" t="s">
        <v>168</v>
      </c>
      <c r="F22" s="4" t="s">
        <v>169</v>
      </c>
      <c r="G22" s="4" t="s">
        <v>170</v>
      </c>
      <c r="H22" s="10">
        <v>19149</v>
      </c>
      <c r="I22" s="17">
        <v>3.6</v>
      </c>
      <c r="J22" s="4" t="s">
        <v>26</v>
      </c>
      <c r="K22" s="4" t="s">
        <v>165</v>
      </c>
      <c r="L22" s="4" t="s">
        <v>166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53" t="s">
        <v>845</v>
      </c>
      <c r="B23" s="52">
        <v>21</v>
      </c>
      <c r="C23" s="4" t="s">
        <v>171</v>
      </c>
      <c r="D23" s="4">
        <v>15824969</v>
      </c>
      <c r="E23" s="4" t="s">
        <v>168</v>
      </c>
      <c r="F23" s="4" t="s">
        <v>172</v>
      </c>
      <c r="G23" s="4" t="s">
        <v>173</v>
      </c>
      <c r="H23" s="10">
        <v>37211</v>
      </c>
      <c r="I23" s="17">
        <v>3.6</v>
      </c>
      <c r="J23" s="4" t="s">
        <v>26</v>
      </c>
      <c r="K23" s="4" t="s">
        <v>165</v>
      </c>
      <c r="L23" s="4" t="s">
        <v>166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53" t="s">
        <v>846</v>
      </c>
      <c r="B24" s="52">
        <v>22</v>
      </c>
      <c r="C24" s="4" t="s">
        <v>174</v>
      </c>
      <c r="D24" s="4">
        <v>15824969</v>
      </c>
      <c r="E24" s="4" t="s">
        <v>168</v>
      </c>
      <c r="F24" s="4" t="s">
        <v>175</v>
      </c>
      <c r="G24" s="4" t="s">
        <v>176</v>
      </c>
      <c r="H24" s="10">
        <v>29093</v>
      </c>
      <c r="I24" s="17">
        <v>3.6</v>
      </c>
      <c r="J24" s="4" t="s">
        <v>26</v>
      </c>
      <c r="K24" s="4" t="s">
        <v>165</v>
      </c>
      <c r="L24" s="4" t="s">
        <v>166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53" t="s">
        <v>847</v>
      </c>
      <c r="B25" s="52">
        <v>23</v>
      </c>
      <c r="C25" s="4" t="s">
        <v>177</v>
      </c>
      <c r="D25" s="4">
        <v>15824969</v>
      </c>
      <c r="E25" s="4" t="s">
        <v>168</v>
      </c>
      <c r="F25" s="4" t="s">
        <v>178</v>
      </c>
      <c r="G25" s="4" t="s">
        <v>176</v>
      </c>
      <c r="H25" s="10">
        <v>48234</v>
      </c>
      <c r="I25" s="17">
        <v>4.8</v>
      </c>
      <c r="J25" s="4" t="s">
        <v>26</v>
      </c>
      <c r="K25" s="4" t="s">
        <v>165</v>
      </c>
      <c r="L25" s="4" t="s">
        <v>166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53" t="s">
        <v>848</v>
      </c>
      <c r="B26" s="52">
        <v>24</v>
      </c>
      <c r="C26" s="4" t="s">
        <v>179</v>
      </c>
      <c r="D26" s="4">
        <v>15824969</v>
      </c>
      <c r="E26" s="4" t="s">
        <v>168</v>
      </c>
      <c r="F26" s="4" t="s">
        <v>180</v>
      </c>
      <c r="G26" s="4" t="s">
        <v>176</v>
      </c>
      <c r="H26" s="10">
        <v>38986</v>
      </c>
      <c r="I26" s="17">
        <v>4</v>
      </c>
      <c r="J26" s="4" t="s">
        <v>26</v>
      </c>
      <c r="K26" s="4" t="s">
        <v>165</v>
      </c>
      <c r="L26" s="4" t="s">
        <v>166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53" t="s">
        <v>849</v>
      </c>
      <c r="B27" s="52">
        <v>25</v>
      </c>
      <c r="C27" s="4" t="s">
        <v>181</v>
      </c>
      <c r="D27" s="4">
        <v>15824969</v>
      </c>
      <c r="E27" s="4" t="s">
        <v>168</v>
      </c>
      <c r="F27" s="4" t="s">
        <v>182</v>
      </c>
      <c r="G27" s="4" t="s">
        <v>183</v>
      </c>
      <c r="H27" s="10">
        <v>28763</v>
      </c>
      <c r="I27" s="17">
        <v>5.25</v>
      </c>
      <c r="J27" s="4" t="s">
        <v>26</v>
      </c>
      <c r="K27" s="4" t="s">
        <v>165</v>
      </c>
      <c r="L27" s="4" t="s">
        <v>166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53" t="s">
        <v>850</v>
      </c>
      <c r="B28" s="52">
        <v>26</v>
      </c>
      <c r="C28" s="4" t="s">
        <v>184</v>
      </c>
      <c r="D28" s="4">
        <v>15824969</v>
      </c>
      <c r="E28" s="4" t="s">
        <v>168</v>
      </c>
      <c r="F28" s="4" t="s">
        <v>185</v>
      </c>
      <c r="G28" s="4" t="s">
        <v>186</v>
      </c>
      <c r="H28" s="10">
        <v>27465</v>
      </c>
      <c r="I28" s="17">
        <v>4.1500000000000004</v>
      </c>
      <c r="J28" s="4" t="s">
        <v>26</v>
      </c>
      <c r="K28" s="4" t="s">
        <v>165</v>
      </c>
      <c r="L28" s="4" t="s">
        <v>166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53" t="s">
        <v>851</v>
      </c>
      <c r="B29" s="52">
        <v>27</v>
      </c>
      <c r="C29" s="4" t="s">
        <v>187</v>
      </c>
      <c r="D29" s="4">
        <v>15824969</v>
      </c>
      <c r="E29" s="4" t="s">
        <v>168</v>
      </c>
      <c r="F29" s="4" t="s">
        <v>188</v>
      </c>
      <c r="G29" s="4" t="s">
        <v>189</v>
      </c>
      <c r="H29" s="10">
        <v>0</v>
      </c>
      <c r="I29" s="17">
        <v>3.6</v>
      </c>
      <c r="J29" s="4" t="s">
        <v>26</v>
      </c>
      <c r="K29" s="4" t="s">
        <v>165</v>
      </c>
      <c r="L29" s="4" t="s">
        <v>166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53" t="s">
        <v>852</v>
      </c>
      <c r="B30" s="52">
        <v>28</v>
      </c>
      <c r="C30" s="4" t="s">
        <v>190</v>
      </c>
      <c r="D30" s="4">
        <v>15824969</v>
      </c>
      <c r="E30" s="4" t="s">
        <v>168</v>
      </c>
      <c r="F30" s="4" t="s">
        <v>175</v>
      </c>
      <c r="G30" s="4" t="s">
        <v>191</v>
      </c>
      <c r="H30" s="10">
        <v>0</v>
      </c>
      <c r="I30" s="17">
        <v>3.6</v>
      </c>
      <c r="J30" s="4" t="s">
        <v>26</v>
      </c>
      <c r="K30" s="4" t="s">
        <v>165</v>
      </c>
      <c r="L30" s="4" t="s">
        <v>166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53" t="s">
        <v>853</v>
      </c>
      <c r="B31" s="52">
        <v>29</v>
      </c>
      <c r="C31" s="4" t="s">
        <v>192</v>
      </c>
      <c r="D31" s="4">
        <v>80699146</v>
      </c>
      <c r="E31" s="4" t="s">
        <v>193</v>
      </c>
      <c r="F31" s="4" t="s">
        <v>175</v>
      </c>
      <c r="G31" s="4" t="s">
        <v>194</v>
      </c>
      <c r="H31" s="10">
        <v>0</v>
      </c>
      <c r="I31" s="17">
        <v>3.6</v>
      </c>
      <c r="J31" s="4" t="s">
        <v>26</v>
      </c>
      <c r="K31" s="4" t="s">
        <v>165</v>
      </c>
      <c r="L31" s="4" t="s">
        <v>166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53" t="s">
        <v>854</v>
      </c>
      <c r="B32" s="52">
        <v>30</v>
      </c>
      <c r="C32" s="4" t="s">
        <v>195</v>
      </c>
      <c r="D32" s="4">
        <v>6722695</v>
      </c>
      <c r="E32" s="4" t="s">
        <v>196</v>
      </c>
      <c r="F32" s="4" t="s">
        <v>185</v>
      </c>
      <c r="G32" s="4" t="s">
        <v>197</v>
      </c>
      <c r="H32" s="10">
        <v>0</v>
      </c>
      <c r="I32" s="17">
        <v>3.6</v>
      </c>
      <c r="J32" s="4" t="s">
        <v>26</v>
      </c>
      <c r="K32" s="4" t="s">
        <v>165</v>
      </c>
      <c r="L32" s="4" t="s">
        <v>166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53" t="s">
        <v>855</v>
      </c>
      <c r="B33" s="52">
        <v>31</v>
      </c>
      <c r="C33" s="4" t="s">
        <v>198</v>
      </c>
      <c r="D33" s="4">
        <v>6722695</v>
      </c>
      <c r="E33" s="4" t="s">
        <v>196</v>
      </c>
      <c r="F33" s="4" t="s">
        <v>185</v>
      </c>
      <c r="G33" s="4" t="s">
        <v>199</v>
      </c>
      <c r="H33" s="10">
        <v>47136</v>
      </c>
      <c r="I33" s="17">
        <v>3.6</v>
      </c>
      <c r="J33" s="4" t="s">
        <v>26</v>
      </c>
      <c r="K33" s="4" t="s">
        <v>165</v>
      </c>
      <c r="L33" s="4" t="s">
        <v>166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53" t="s">
        <v>856</v>
      </c>
      <c r="B34" s="52">
        <v>32</v>
      </c>
      <c r="C34" s="4" t="s">
        <v>200</v>
      </c>
      <c r="D34" s="4">
        <v>6722695</v>
      </c>
      <c r="E34" s="4" t="s">
        <v>196</v>
      </c>
      <c r="F34" s="4" t="s">
        <v>185</v>
      </c>
      <c r="G34" s="4" t="s">
        <v>189</v>
      </c>
      <c r="H34" s="10">
        <v>3336</v>
      </c>
      <c r="I34" s="17">
        <v>3.6</v>
      </c>
      <c r="J34" s="4" t="s">
        <v>26</v>
      </c>
      <c r="K34" s="4" t="s">
        <v>165</v>
      </c>
      <c r="L34" s="4" t="s">
        <v>166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53" t="s">
        <v>857</v>
      </c>
      <c r="B35" s="52">
        <v>33</v>
      </c>
      <c r="C35" s="4" t="s">
        <v>201</v>
      </c>
      <c r="D35" s="4">
        <v>4364430</v>
      </c>
      <c r="E35" s="4" t="s">
        <v>202</v>
      </c>
      <c r="F35" s="4" t="s">
        <v>203</v>
      </c>
      <c r="G35" s="4" t="s">
        <v>204</v>
      </c>
      <c r="H35" s="10">
        <v>26819</v>
      </c>
      <c r="I35" s="17">
        <v>3.6</v>
      </c>
      <c r="J35" s="15">
        <v>1</v>
      </c>
      <c r="K35" s="4" t="s">
        <v>165</v>
      </c>
      <c r="L35" s="4" t="s">
        <v>166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53" t="s">
        <v>858</v>
      </c>
      <c r="B36" s="52">
        <v>34</v>
      </c>
      <c r="C36" s="4" t="s">
        <v>205</v>
      </c>
      <c r="D36" s="4">
        <v>4364430</v>
      </c>
      <c r="E36" s="4" t="s">
        <v>202</v>
      </c>
      <c r="F36" s="4" t="s">
        <v>206</v>
      </c>
      <c r="G36" s="4" t="s">
        <v>207</v>
      </c>
      <c r="H36" s="10">
        <v>0</v>
      </c>
      <c r="I36" s="17">
        <v>3.6</v>
      </c>
      <c r="J36" s="15">
        <v>1</v>
      </c>
      <c r="K36" s="4" t="s">
        <v>165</v>
      </c>
      <c r="L36" s="4" t="s">
        <v>166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53" t="s">
        <v>859</v>
      </c>
      <c r="B37" s="52">
        <v>35</v>
      </c>
      <c r="C37" s="6" t="s">
        <v>208</v>
      </c>
      <c r="D37" s="4">
        <v>3453464</v>
      </c>
      <c r="E37" s="4" t="s">
        <v>209</v>
      </c>
      <c r="F37" s="4" t="s">
        <v>125</v>
      </c>
      <c r="G37" s="4" t="s">
        <v>24</v>
      </c>
      <c r="H37" s="10">
        <v>1700000</v>
      </c>
      <c r="I37" s="17">
        <v>21.9298</v>
      </c>
      <c r="J37" s="4" t="s">
        <v>26</v>
      </c>
      <c r="K37" s="4" t="s">
        <v>210</v>
      </c>
      <c r="L37" s="4" t="s">
        <v>211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53" t="s">
        <v>860</v>
      </c>
      <c r="B38" s="52">
        <v>36</v>
      </c>
      <c r="C38" s="6" t="s">
        <v>212</v>
      </c>
      <c r="D38" s="4">
        <v>3453464</v>
      </c>
      <c r="E38" s="4" t="s">
        <v>209</v>
      </c>
      <c r="F38" s="4" t="s">
        <v>213</v>
      </c>
      <c r="G38" s="4" t="s">
        <v>214</v>
      </c>
      <c r="H38" s="10">
        <v>1399000</v>
      </c>
      <c r="I38" s="17">
        <v>20.833300000000001</v>
      </c>
      <c r="J38" s="4" t="s">
        <v>26</v>
      </c>
      <c r="K38" s="4" t="s">
        <v>210</v>
      </c>
      <c r="L38" s="4" t="s">
        <v>211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53" t="s">
        <v>861</v>
      </c>
      <c r="B39" s="52">
        <v>37</v>
      </c>
      <c r="C39" s="6" t="s">
        <v>215</v>
      </c>
      <c r="D39" s="4">
        <v>3453464</v>
      </c>
      <c r="E39" s="4" t="s">
        <v>209</v>
      </c>
      <c r="F39" s="4" t="s">
        <v>125</v>
      </c>
      <c r="G39" s="4" t="s">
        <v>24</v>
      </c>
      <c r="H39" s="10">
        <v>1700000</v>
      </c>
      <c r="I39" s="17">
        <v>27.777699999999999</v>
      </c>
      <c r="J39" s="4" t="s">
        <v>26</v>
      </c>
      <c r="K39" s="4" t="s">
        <v>210</v>
      </c>
      <c r="L39" s="4" t="s">
        <v>211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53" t="s">
        <v>862</v>
      </c>
      <c r="B40" s="52">
        <v>38</v>
      </c>
      <c r="C40" s="6" t="s">
        <v>216</v>
      </c>
      <c r="D40" s="4">
        <v>3453464</v>
      </c>
      <c r="E40" s="4" t="s">
        <v>209</v>
      </c>
      <c r="F40" s="4" t="s">
        <v>217</v>
      </c>
      <c r="G40" s="4" t="s">
        <v>24</v>
      </c>
      <c r="H40" s="10">
        <v>1700000</v>
      </c>
      <c r="I40" s="17">
        <v>21.9298</v>
      </c>
      <c r="J40" s="4" t="s">
        <v>26</v>
      </c>
      <c r="K40" s="4" t="s">
        <v>210</v>
      </c>
      <c r="L40" s="4" t="s">
        <v>211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53" t="s">
        <v>863</v>
      </c>
      <c r="B41" s="52">
        <v>39</v>
      </c>
      <c r="C41" s="6" t="s">
        <v>218</v>
      </c>
      <c r="D41" s="4">
        <v>3453464</v>
      </c>
      <c r="E41" s="4" t="s">
        <v>209</v>
      </c>
      <c r="F41" s="4" t="s">
        <v>219</v>
      </c>
      <c r="G41" s="4" t="s">
        <v>220</v>
      </c>
      <c r="H41" s="10">
        <v>872700</v>
      </c>
      <c r="I41" s="17">
        <v>14.6198</v>
      </c>
      <c r="J41" s="4" t="s">
        <v>26</v>
      </c>
      <c r="K41" s="4" t="s">
        <v>210</v>
      </c>
      <c r="L41" s="4" t="s">
        <v>211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53" t="s">
        <v>864</v>
      </c>
      <c r="B42" s="52">
        <v>40</v>
      </c>
      <c r="C42" s="6" t="s">
        <v>221</v>
      </c>
      <c r="D42" s="4">
        <v>3453464</v>
      </c>
      <c r="E42" s="4" t="s">
        <v>209</v>
      </c>
      <c r="F42" s="4" t="s">
        <v>125</v>
      </c>
      <c r="G42" s="4" t="s">
        <v>24</v>
      </c>
      <c r="H42" s="10"/>
      <c r="I42" s="17">
        <v>17.196400000000001</v>
      </c>
      <c r="J42" s="4" t="s">
        <v>26</v>
      </c>
      <c r="K42" s="4" t="s">
        <v>210</v>
      </c>
      <c r="L42" s="4" t="s">
        <v>211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>
      <c r="A43" s="53" t="s">
        <v>865</v>
      </c>
      <c r="B43" s="52">
        <v>41</v>
      </c>
      <c r="C43" s="18" t="s">
        <v>222</v>
      </c>
      <c r="D43" s="9" t="s">
        <v>223</v>
      </c>
      <c r="E43" s="4" t="s">
        <v>224</v>
      </c>
      <c r="F43" s="4" t="s">
        <v>225</v>
      </c>
      <c r="G43" s="4" t="s">
        <v>226</v>
      </c>
      <c r="H43" s="10">
        <v>585000</v>
      </c>
      <c r="I43" s="17">
        <f>16*1.125</f>
        <v>18</v>
      </c>
      <c r="J43" s="4" t="s">
        <v>26</v>
      </c>
      <c r="K43" s="4" t="s">
        <v>227</v>
      </c>
      <c r="L43" s="4" t="s">
        <v>228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>
      <c r="A44" s="53" t="s">
        <v>866</v>
      </c>
      <c r="B44" s="52">
        <v>42</v>
      </c>
      <c r="C44" s="19" t="s">
        <v>229</v>
      </c>
      <c r="D44" s="20" t="s">
        <v>223</v>
      </c>
      <c r="E44" s="4" t="s">
        <v>224</v>
      </c>
      <c r="F44" s="4" t="s">
        <v>230</v>
      </c>
      <c r="G44" s="4" t="s">
        <v>226</v>
      </c>
      <c r="H44" s="10">
        <v>327000</v>
      </c>
      <c r="I44" s="17">
        <v>13</v>
      </c>
      <c r="J44" s="4" t="s">
        <v>26</v>
      </c>
      <c r="K44" s="4" t="s">
        <v>133</v>
      </c>
      <c r="L44" s="4" t="s">
        <v>231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53" t="s">
        <v>867</v>
      </c>
      <c r="B45" s="52">
        <v>43</v>
      </c>
      <c r="C45" s="18" t="s">
        <v>232</v>
      </c>
      <c r="D45" s="9" t="s">
        <v>223</v>
      </c>
      <c r="E45" s="4" t="s">
        <v>224</v>
      </c>
      <c r="F45" s="4" t="s">
        <v>233</v>
      </c>
      <c r="G45" s="4" t="s">
        <v>234</v>
      </c>
      <c r="H45" s="10">
        <v>517000</v>
      </c>
      <c r="I45" s="17">
        <v>15</v>
      </c>
      <c r="J45" s="4" t="s">
        <v>26</v>
      </c>
      <c r="K45" s="4" t="s">
        <v>227</v>
      </c>
      <c r="L45" s="4" t="s">
        <v>235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53" t="s">
        <v>868</v>
      </c>
      <c r="B46" s="52">
        <v>44</v>
      </c>
      <c r="C46" s="21" t="s">
        <v>236</v>
      </c>
      <c r="D46" s="20" t="s">
        <v>223</v>
      </c>
      <c r="E46" s="4" t="s">
        <v>224</v>
      </c>
      <c r="F46" s="4" t="s">
        <v>237</v>
      </c>
      <c r="G46" s="4" t="s">
        <v>234</v>
      </c>
      <c r="H46" s="10">
        <v>207000</v>
      </c>
      <c r="I46" s="17">
        <f>11*1.125</f>
        <v>12.375</v>
      </c>
      <c r="J46" s="4" t="s">
        <v>26</v>
      </c>
      <c r="K46" s="4" t="s">
        <v>238</v>
      </c>
      <c r="L46" s="4" t="s">
        <v>239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>
      <c r="A47" s="53" t="s">
        <v>869</v>
      </c>
      <c r="B47" s="52">
        <v>45</v>
      </c>
      <c r="C47" s="9" t="s">
        <v>240</v>
      </c>
      <c r="D47" s="9">
        <v>4703979</v>
      </c>
      <c r="E47" s="4" t="s">
        <v>241</v>
      </c>
      <c r="F47" s="4" t="s">
        <v>242</v>
      </c>
      <c r="G47" s="4" t="s">
        <v>243</v>
      </c>
      <c r="H47" s="10">
        <f>18974+64173</f>
        <v>83147</v>
      </c>
      <c r="I47" s="17">
        <v>2.8125</v>
      </c>
      <c r="J47" s="4" t="s">
        <v>26</v>
      </c>
      <c r="K47" s="4" t="s">
        <v>244</v>
      </c>
      <c r="L47" s="4" t="s">
        <v>245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>
      <c r="A48" s="53" t="s">
        <v>870</v>
      </c>
      <c r="B48" s="52">
        <v>46</v>
      </c>
      <c r="C48" s="20" t="s">
        <v>246</v>
      </c>
      <c r="D48" s="20">
        <v>4703979</v>
      </c>
      <c r="E48" s="4" t="s">
        <v>241</v>
      </c>
      <c r="F48" s="4" t="s">
        <v>242</v>
      </c>
      <c r="G48" s="4" t="s">
        <v>247</v>
      </c>
      <c r="H48" s="10">
        <v>360000</v>
      </c>
      <c r="I48" s="17">
        <v>12.375</v>
      </c>
      <c r="J48" s="4" t="s">
        <v>26</v>
      </c>
      <c r="K48" s="4" t="s">
        <v>244</v>
      </c>
      <c r="L48" s="4" t="s">
        <v>245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>
      <c r="A49" s="53" t="s">
        <v>871</v>
      </c>
      <c r="B49" s="52">
        <v>47</v>
      </c>
      <c r="C49" s="9" t="s">
        <v>248</v>
      </c>
      <c r="D49" s="9">
        <v>4703979</v>
      </c>
      <c r="E49" s="4" t="s">
        <v>241</v>
      </c>
      <c r="F49" s="4" t="s">
        <v>242</v>
      </c>
      <c r="G49" s="4" t="s">
        <v>249</v>
      </c>
      <c r="H49" s="10">
        <v>50509</v>
      </c>
      <c r="I49" s="17">
        <v>2.8125</v>
      </c>
      <c r="J49" s="4" t="s">
        <v>26</v>
      </c>
      <c r="K49" s="4" t="s">
        <v>244</v>
      </c>
      <c r="L49" s="4" t="s">
        <v>245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>
      <c r="A50" s="53" t="s">
        <v>872</v>
      </c>
      <c r="B50" s="52">
        <v>47</v>
      </c>
      <c r="C50" s="20" t="s">
        <v>250</v>
      </c>
      <c r="D50" s="20">
        <v>4703979</v>
      </c>
      <c r="E50" s="4" t="s">
        <v>241</v>
      </c>
      <c r="F50" s="4" t="s">
        <v>242</v>
      </c>
      <c r="G50" s="4" t="s">
        <v>251</v>
      </c>
      <c r="H50" s="10">
        <v>17783</v>
      </c>
      <c r="I50" s="17">
        <v>2.8125</v>
      </c>
      <c r="J50" s="4" t="s">
        <v>26</v>
      </c>
      <c r="K50" s="4" t="s">
        <v>244</v>
      </c>
      <c r="L50" s="4" t="s">
        <v>245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>
      <c r="A51" s="53" t="s">
        <v>873</v>
      </c>
      <c r="B51" s="52">
        <v>48</v>
      </c>
      <c r="C51" s="9" t="s">
        <v>252</v>
      </c>
      <c r="D51" s="9">
        <v>4703979</v>
      </c>
      <c r="E51" s="4" t="s">
        <v>241</v>
      </c>
      <c r="F51" s="4" t="s">
        <v>242</v>
      </c>
      <c r="G51" s="4" t="s">
        <v>253</v>
      </c>
      <c r="H51" s="10">
        <f>15484+56070</f>
        <v>71554</v>
      </c>
      <c r="I51" s="17">
        <v>2.8125</v>
      </c>
      <c r="J51" s="4" t="s">
        <v>26</v>
      </c>
      <c r="K51" s="4" t="s">
        <v>244</v>
      </c>
      <c r="L51" s="4" t="s">
        <v>245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53" t="s">
        <v>874</v>
      </c>
      <c r="B52" s="52">
        <v>49</v>
      </c>
      <c r="C52" s="20" t="s">
        <v>254</v>
      </c>
      <c r="D52" s="20">
        <v>4703979</v>
      </c>
      <c r="E52" s="4" t="s">
        <v>241</v>
      </c>
      <c r="F52" s="4" t="s">
        <v>242</v>
      </c>
      <c r="G52" s="4" t="s">
        <v>255</v>
      </c>
      <c r="H52" s="10">
        <f>21988+12570</f>
        <v>34558</v>
      </c>
      <c r="I52" s="17">
        <v>2.8125</v>
      </c>
      <c r="J52" s="4" t="s">
        <v>26</v>
      </c>
      <c r="K52" s="4" t="s">
        <v>244</v>
      </c>
      <c r="L52" s="4" t="s">
        <v>245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>
      <c r="A53" s="53" t="s">
        <v>875</v>
      </c>
      <c r="B53" s="52">
        <v>50</v>
      </c>
      <c r="C53" s="9" t="s">
        <v>256</v>
      </c>
      <c r="D53" s="9">
        <v>4703979</v>
      </c>
      <c r="E53" s="4" t="s">
        <v>241</v>
      </c>
      <c r="F53" s="4" t="s">
        <v>242</v>
      </c>
      <c r="G53" s="4" t="s">
        <v>257</v>
      </c>
      <c r="H53" s="10">
        <f>26632</f>
        <v>26632</v>
      </c>
      <c r="I53" s="17">
        <v>2.8125</v>
      </c>
      <c r="J53" s="4" t="s">
        <v>26</v>
      </c>
      <c r="K53" s="4" t="s">
        <v>244</v>
      </c>
      <c r="L53" s="4" t="s">
        <v>245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>
      <c r="A54" s="53" t="s">
        <v>876</v>
      </c>
      <c r="B54" s="52">
        <v>51</v>
      </c>
      <c r="C54" s="20" t="s">
        <v>258</v>
      </c>
      <c r="D54" s="20">
        <v>1803638</v>
      </c>
      <c r="E54" s="4" t="s">
        <v>259</v>
      </c>
      <c r="F54" s="4" t="s">
        <v>260</v>
      </c>
      <c r="G54" s="4" t="s">
        <v>261</v>
      </c>
      <c r="H54" s="10">
        <v>22265</v>
      </c>
      <c r="I54" s="17">
        <v>2.25</v>
      </c>
      <c r="J54" s="15">
        <v>1</v>
      </c>
      <c r="K54" s="4" t="s">
        <v>210</v>
      </c>
      <c r="L54" s="4" t="s">
        <v>262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>
      <c r="A55" s="53" t="s">
        <v>877</v>
      </c>
      <c r="B55" s="52">
        <v>52</v>
      </c>
      <c r="C55" s="9" t="s">
        <v>263</v>
      </c>
      <c r="D55" s="9" t="s">
        <v>264</v>
      </c>
      <c r="E55" s="4" t="s">
        <v>265</v>
      </c>
      <c r="F55" s="4" t="s">
        <v>266</v>
      </c>
      <c r="G55" s="4" t="s">
        <v>267</v>
      </c>
      <c r="H55" s="10">
        <v>88553</v>
      </c>
      <c r="I55" s="17">
        <v>4</v>
      </c>
      <c r="J55" s="15">
        <v>1</v>
      </c>
      <c r="K55" s="4" t="s">
        <v>210</v>
      </c>
      <c r="L55" s="4" t="s">
        <v>262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>
      <c r="A56" s="53" t="s">
        <v>878</v>
      </c>
      <c r="B56" s="52">
        <v>53</v>
      </c>
      <c r="C56" s="20" t="s">
        <v>268</v>
      </c>
      <c r="D56" s="20">
        <v>4437691</v>
      </c>
      <c r="E56" s="4" t="s">
        <v>269</v>
      </c>
      <c r="F56" s="4" t="s">
        <v>270</v>
      </c>
      <c r="G56" s="4" t="s">
        <v>271</v>
      </c>
      <c r="H56" s="10">
        <f>17069+3369</f>
        <v>20438</v>
      </c>
      <c r="I56" s="17">
        <v>3.35</v>
      </c>
      <c r="J56" s="4" t="s">
        <v>272</v>
      </c>
      <c r="K56" s="4" t="s">
        <v>227</v>
      </c>
      <c r="L56" s="4" t="s">
        <v>262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>
      <c r="A57" s="53" t="s">
        <v>879</v>
      </c>
      <c r="B57" s="52">
        <v>54</v>
      </c>
      <c r="C57" s="18" t="s">
        <v>273</v>
      </c>
      <c r="D57" s="9">
        <v>103836764</v>
      </c>
      <c r="E57" s="4" t="s">
        <v>274</v>
      </c>
      <c r="F57" s="4" t="s">
        <v>275</v>
      </c>
      <c r="G57" s="4" t="s">
        <v>24</v>
      </c>
      <c r="H57" s="10">
        <v>2795000</v>
      </c>
      <c r="I57" s="17">
        <v>19.379799999999999</v>
      </c>
      <c r="J57" s="4" t="s">
        <v>26</v>
      </c>
      <c r="K57" s="4" t="s">
        <v>133</v>
      </c>
      <c r="L57" s="4" t="s">
        <v>276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>
      <c r="A58" s="53" t="s">
        <v>880</v>
      </c>
      <c r="B58" s="52">
        <v>55</v>
      </c>
      <c r="C58" s="21" t="s">
        <v>277</v>
      </c>
      <c r="D58" s="20" t="s">
        <v>278</v>
      </c>
      <c r="E58" s="4" t="s">
        <v>279</v>
      </c>
      <c r="F58" s="4" t="s">
        <v>280</v>
      </c>
      <c r="G58" s="4" t="s">
        <v>234</v>
      </c>
      <c r="H58" s="10">
        <f>6297+60703+18550</f>
        <v>85550</v>
      </c>
      <c r="I58" s="17">
        <v>12.375</v>
      </c>
      <c r="J58" s="4" t="s">
        <v>26</v>
      </c>
      <c r="K58" s="4" t="s">
        <v>210</v>
      </c>
      <c r="L58" s="4" t="s">
        <v>262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>
      <c r="A59" s="53" t="s">
        <v>881</v>
      </c>
      <c r="B59" s="52">
        <v>56</v>
      </c>
      <c r="C59" s="18" t="s">
        <v>281</v>
      </c>
      <c r="D59" s="9">
        <v>26559676</v>
      </c>
      <c r="E59" s="4" t="s">
        <v>282</v>
      </c>
      <c r="F59" s="4" t="s">
        <v>283</v>
      </c>
      <c r="G59" s="4" t="s">
        <v>284</v>
      </c>
      <c r="H59" s="10">
        <f>6987+14529+12544+9175+8009+757+6857+24380</f>
        <v>83238</v>
      </c>
      <c r="I59" s="17">
        <v>16.537500000000001</v>
      </c>
      <c r="J59" s="4"/>
      <c r="K59" s="4" t="s">
        <v>210</v>
      </c>
      <c r="L59" s="4" t="s">
        <v>285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>
      <c r="A60" s="53" t="s">
        <v>882</v>
      </c>
      <c r="B60" s="52">
        <v>57</v>
      </c>
      <c r="C60" s="19" t="s">
        <v>286</v>
      </c>
      <c r="D60" s="20">
        <v>3591816</v>
      </c>
      <c r="E60" s="4" t="s">
        <v>287</v>
      </c>
      <c r="F60" s="4" t="s">
        <v>288</v>
      </c>
      <c r="G60" s="4" t="s">
        <v>289</v>
      </c>
      <c r="H60" s="10">
        <f>23038+37300</f>
        <v>60338</v>
      </c>
      <c r="I60" s="17">
        <v>12.94</v>
      </c>
      <c r="J60" s="15">
        <v>1</v>
      </c>
      <c r="K60" s="4" t="s">
        <v>210</v>
      </c>
      <c r="L60" s="4" t="s">
        <v>262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>
      <c r="A61" s="53" t="s">
        <v>883</v>
      </c>
      <c r="B61" s="52">
        <v>58</v>
      </c>
      <c r="C61" s="18" t="s">
        <v>290</v>
      </c>
      <c r="D61" s="9">
        <v>3591816</v>
      </c>
      <c r="E61" s="4" t="s">
        <v>287</v>
      </c>
      <c r="F61" s="4" t="s">
        <v>288</v>
      </c>
      <c r="G61" s="4" t="s">
        <v>291</v>
      </c>
      <c r="H61" s="10">
        <f>2692+24667</f>
        <v>27359</v>
      </c>
      <c r="I61" s="17">
        <v>4.7249999999999996</v>
      </c>
      <c r="J61" s="15">
        <v>1</v>
      </c>
      <c r="K61" s="4" t="s">
        <v>210</v>
      </c>
      <c r="L61" s="4" t="s">
        <v>262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>
      <c r="A62" s="53" t="s">
        <v>884</v>
      </c>
      <c r="B62" s="52">
        <v>59</v>
      </c>
      <c r="C62" s="19" t="s">
        <v>292</v>
      </c>
      <c r="D62" s="20">
        <v>3591816</v>
      </c>
      <c r="E62" s="4" t="s">
        <v>287</v>
      </c>
      <c r="F62" s="4" t="s">
        <v>288</v>
      </c>
      <c r="G62" s="4" t="s">
        <v>291</v>
      </c>
      <c r="H62" s="10">
        <f>11667+3721</f>
        <v>15388</v>
      </c>
      <c r="I62" s="17">
        <v>4.1062500000000002</v>
      </c>
      <c r="J62" s="15">
        <v>1</v>
      </c>
      <c r="K62" s="4" t="s">
        <v>210</v>
      </c>
      <c r="L62" s="4" t="s">
        <v>262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>
      <c r="A63" s="53" t="s">
        <v>885</v>
      </c>
      <c r="B63" s="52">
        <v>60</v>
      </c>
      <c r="C63" s="18" t="s">
        <v>293</v>
      </c>
      <c r="D63" s="9">
        <v>3591816</v>
      </c>
      <c r="E63" s="4" t="s">
        <v>287</v>
      </c>
      <c r="F63" s="4" t="s">
        <v>288</v>
      </c>
      <c r="G63" s="4" t="s">
        <v>291</v>
      </c>
      <c r="H63" s="10">
        <f>28337</f>
        <v>28337</v>
      </c>
      <c r="I63" s="17">
        <v>4.1062500000000002</v>
      </c>
      <c r="J63" s="15">
        <v>1</v>
      </c>
      <c r="K63" s="4" t="s">
        <v>210</v>
      </c>
      <c r="L63" s="4" t="s">
        <v>262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>
      <c r="A64" s="53" t="s">
        <v>886</v>
      </c>
      <c r="B64" s="52">
        <v>61</v>
      </c>
      <c r="C64" s="19" t="s">
        <v>294</v>
      </c>
      <c r="D64" s="20">
        <v>3591816</v>
      </c>
      <c r="E64" s="4" t="s">
        <v>287</v>
      </c>
      <c r="F64" s="4" t="s">
        <v>288</v>
      </c>
      <c r="G64" s="4" t="s">
        <v>295</v>
      </c>
      <c r="H64" s="10">
        <v>21881</v>
      </c>
      <c r="I64" s="17">
        <v>4.7249999999999996</v>
      </c>
      <c r="J64" s="15">
        <v>1</v>
      </c>
      <c r="K64" s="4" t="s">
        <v>210</v>
      </c>
      <c r="L64" s="4" t="s">
        <v>262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>
      <c r="A65" s="53" t="s">
        <v>887</v>
      </c>
      <c r="B65" s="52">
        <v>62</v>
      </c>
      <c r="C65" s="18" t="s">
        <v>296</v>
      </c>
      <c r="D65" s="9">
        <v>3591816</v>
      </c>
      <c r="E65" s="4" t="s">
        <v>287</v>
      </c>
      <c r="F65" s="4" t="s">
        <v>288</v>
      </c>
      <c r="G65" s="4" t="s">
        <v>295</v>
      </c>
      <c r="H65" s="10">
        <v>39911</v>
      </c>
      <c r="I65" s="17">
        <v>4.1062500000000002</v>
      </c>
      <c r="J65" s="15">
        <v>1</v>
      </c>
      <c r="K65" s="4" t="s">
        <v>210</v>
      </c>
      <c r="L65" s="4" t="s">
        <v>262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>
      <c r="A66" s="53" t="s">
        <v>888</v>
      </c>
      <c r="B66" s="52">
        <v>63</v>
      </c>
      <c r="C66" s="19" t="s">
        <v>297</v>
      </c>
      <c r="D66" s="20">
        <v>3591816</v>
      </c>
      <c r="E66" s="4" t="s">
        <v>287</v>
      </c>
      <c r="F66" s="4" t="s">
        <v>288</v>
      </c>
      <c r="G66" s="4" t="s">
        <v>298</v>
      </c>
      <c r="H66" s="10">
        <v>35521</v>
      </c>
      <c r="I66" s="17">
        <v>4.1062500000000002</v>
      </c>
      <c r="J66" s="15">
        <v>1</v>
      </c>
      <c r="K66" s="4" t="s">
        <v>210</v>
      </c>
      <c r="L66" s="4" t="s">
        <v>262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>
      <c r="A67" s="53" t="s">
        <v>889</v>
      </c>
      <c r="B67" s="52">
        <v>64</v>
      </c>
      <c r="C67" s="22" t="s">
        <v>299</v>
      </c>
      <c r="D67" s="9">
        <v>3591816</v>
      </c>
      <c r="E67" s="4" t="s">
        <v>287</v>
      </c>
      <c r="F67" s="4" t="s">
        <v>288</v>
      </c>
      <c r="G67" s="4" t="s">
        <v>301</v>
      </c>
      <c r="H67" s="10">
        <v>46205</v>
      </c>
      <c r="I67" s="17">
        <v>4.1062500000000002</v>
      </c>
      <c r="J67" s="15">
        <v>1</v>
      </c>
      <c r="K67" s="4" t="s">
        <v>210</v>
      </c>
      <c r="L67" s="4" t="s">
        <v>262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>
      <c r="A68" s="53" t="s">
        <v>890</v>
      </c>
      <c r="B68" s="52">
        <v>65</v>
      </c>
      <c r="C68" s="19" t="s">
        <v>302</v>
      </c>
      <c r="D68" s="20">
        <v>3591816</v>
      </c>
      <c r="E68" s="4" t="s">
        <v>287</v>
      </c>
      <c r="F68" s="4" t="s">
        <v>288</v>
      </c>
      <c r="G68" s="4" t="s">
        <v>304</v>
      </c>
      <c r="H68" s="10">
        <f>34272+8460</f>
        <v>42732</v>
      </c>
      <c r="I68" s="17">
        <v>4.1062500000000002</v>
      </c>
      <c r="J68" s="15">
        <v>1</v>
      </c>
      <c r="K68" s="4" t="s">
        <v>210</v>
      </c>
      <c r="L68" s="4" t="s">
        <v>262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>
      <c r="A69" s="53" t="s">
        <v>891</v>
      </c>
      <c r="B69" s="52">
        <v>66</v>
      </c>
      <c r="C69" s="18" t="s">
        <v>305</v>
      </c>
      <c r="D69" s="9">
        <v>3591816</v>
      </c>
      <c r="E69" s="4" t="s">
        <v>287</v>
      </c>
      <c r="F69" s="4" t="s">
        <v>288</v>
      </c>
      <c r="G69" s="4" t="s">
        <v>306</v>
      </c>
      <c r="H69" s="10">
        <v>60370</v>
      </c>
      <c r="I69" s="17">
        <v>3.5437500000000002</v>
      </c>
      <c r="J69" s="15">
        <v>1</v>
      </c>
      <c r="K69" s="4" t="s">
        <v>210</v>
      </c>
      <c r="L69" s="4" t="s">
        <v>262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>
      <c r="A70" s="53" t="s">
        <v>892</v>
      </c>
      <c r="B70" s="52">
        <v>67</v>
      </c>
      <c r="C70" s="19" t="s">
        <v>307</v>
      </c>
      <c r="D70" s="20">
        <v>3591816</v>
      </c>
      <c r="E70" s="4" t="s">
        <v>287</v>
      </c>
      <c r="F70" s="4" t="s">
        <v>288</v>
      </c>
      <c r="G70" s="4" t="s">
        <v>308</v>
      </c>
      <c r="H70" s="10">
        <v>71972</v>
      </c>
      <c r="I70" s="17">
        <v>3.5437500000000002</v>
      </c>
      <c r="J70" s="15">
        <v>1</v>
      </c>
      <c r="K70" s="4" t="s">
        <v>210</v>
      </c>
      <c r="L70" s="4" t="s">
        <v>262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>
      <c r="A71" s="53" t="s">
        <v>893</v>
      </c>
      <c r="B71" s="52">
        <v>68</v>
      </c>
      <c r="C71" s="18" t="s">
        <v>309</v>
      </c>
      <c r="D71" s="9">
        <v>3591816</v>
      </c>
      <c r="E71" s="4" t="s">
        <v>287</v>
      </c>
      <c r="F71" s="4" t="s">
        <v>288</v>
      </c>
      <c r="G71" s="4" t="s">
        <v>310</v>
      </c>
      <c r="H71" s="10">
        <v>60153</v>
      </c>
      <c r="I71" s="17">
        <v>3.5437500000000002</v>
      </c>
      <c r="J71" s="15">
        <v>1</v>
      </c>
      <c r="K71" s="4" t="s">
        <v>210</v>
      </c>
      <c r="L71" s="4" t="s">
        <v>262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>
      <c r="A72" s="53" t="s">
        <v>894</v>
      </c>
      <c r="B72" s="52">
        <v>69</v>
      </c>
      <c r="C72" s="19" t="s">
        <v>311</v>
      </c>
      <c r="D72" s="20">
        <v>3591816</v>
      </c>
      <c r="E72" s="4" t="s">
        <v>287</v>
      </c>
      <c r="F72" s="4" t="s">
        <v>288</v>
      </c>
      <c r="G72" s="4" t="s">
        <v>312</v>
      </c>
      <c r="H72" s="10">
        <f>32782+20899</f>
        <v>53681</v>
      </c>
      <c r="I72" s="17">
        <v>4.7249999999999996</v>
      </c>
      <c r="J72" s="15">
        <v>1</v>
      </c>
      <c r="K72" s="4" t="s">
        <v>210</v>
      </c>
      <c r="L72" s="4" t="s">
        <v>262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>
      <c r="A73" s="53" t="s">
        <v>895</v>
      </c>
      <c r="B73" s="52">
        <v>70</v>
      </c>
      <c r="C73" s="18" t="s">
        <v>313</v>
      </c>
      <c r="D73" s="9">
        <v>3591816</v>
      </c>
      <c r="E73" s="4" t="s">
        <v>287</v>
      </c>
      <c r="F73" s="4" t="s">
        <v>314</v>
      </c>
      <c r="G73" s="4" t="s">
        <v>315</v>
      </c>
      <c r="H73" s="10">
        <v>19552</v>
      </c>
      <c r="I73" s="17">
        <v>12.9375</v>
      </c>
      <c r="J73" s="15">
        <v>1</v>
      </c>
      <c r="K73" s="4" t="s">
        <v>210</v>
      </c>
      <c r="L73" s="4" t="s">
        <v>262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>
      <c r="A74" s="53" t="s">
        <v>896</v>
      </c>
      <c r="B74" s="52">
        <v>71</v>
      </c>
      <c r="C74" s="19" t="s">
        <v>316</v>
      </c>
      <c r="D74" s="20" t="s">
        <v>317</v>
      </c>
      <c r="E74" s="4" t="s">
        <v>318</v>
      </c>
      <c r="F74" s="4" t="s">
        <v>319</v>
      </c>
      <c r="G74" s="4" t="s">
        <v>320</v>
      </c>
      <c r="H74" s="10">
        <v>9978</v>
      </c>
      <c r="I74" s="17">
        <v>4.6124999999999998</v>
      </c>
      <c r="J74" s="15">
        <v>1</v>
      </c>
      <c r="K74" s="4" t="s">
        <v>210</v>
      </c>
      <c r="L74" s="4" t="s">
        <v>262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>
      <c r="A75" s="53" t="s">
        <v>897</v>
      </c>
      <c r="B75" s="52">
        <v>72</v>
      </c>
      <c r="C75" s="18" t="s">
        <v>321</v>
      </c>
      <c r="D75" s="9" t="s">
        <v>317</v>
      </c>
      <c r="E75" s="4" t="s">
        <v>318</v>
      </c>
      <c r="F75" s="4" t="s">
        <v>322</v>
      </c>
      <c r="G75" s="4" t="s">
        <v>323</v>
      </c>
      <c r="H75" s="10">
        <v>38339</v>
      </c>
      <c r="I75" s="17">
        <v>4.6124999999999998</v>
      </c>
      <c r="J75" s="15">
        <v>1</v>
      </c>
      <c r="K75" s="4" t="s">
        <v>210</v>
      </c>
      <c r="L75" s="4" t="s">
        <v>262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>
      <c r="A76" s="53" t="s">
        <v>898</v>
      </c>
      <c r="B76" s="52">
        <v>73</v>
      </c>
      <c r="C76" s="21" t="s">
        <v>324</v>
      </c>
      <c r="D76" s="20" t="s">
        <v>317</v>
      </c>
      <c r="E76" s="4" t="s">
        <v>318</v>
      </c>
      <c r="F76" s="4" t="s">
        <v>325</v>
      </c>
      <c r="G76" s="4" t="s">
        <v>326</v>
      </c>
      <c r="H76" s="10">
        <v>13878</v>
      </c>
      <c r="I76" s="17">
        <v>5.90625</v>
      </c>
      <c r="J76" s="15">
        <v>1</v>
      </c>
      <c r="K76" s="4" t="s">
        <v>210</v>
      </c>
      <c r="L76" s="4" t="s">
        <v>262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>
      <c r="A77" s="53" t="s">
        <v>899</v>
      </c>
      <c r="B77" s="52">
        <v>74</v>
      </c>
      <c r="C77" s="18" t="s">
        <v>327</v>
      </c>
      <c r="D77" s="9" t="s">
        <v>317</v>
      </c>
      <c r="E77" s="4" t="s">
        <v>318</v>
      </c>
      <c r="F77" s="4" t="s">
        <v>328</v>
      </c>
      <c r="G77" s="4" t="s">
        <v>329</v>
      </c>
      <c r="H77" s="10">
        <f>45454+3109</f>
        <v>48563</v>
      </c>
      <c r="I77" s="17">
        <v>7.2</v>
      </c>
      <c r="J77" s="15">
        <v>1</v>
      </c>
      <c r="K77" s="4" t="s">
        <v>210</v>
      </c>
      <c r="L77" s="4" t="s">
        <v>262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>
      <c r="A78" s="53" t="s">
        <v>900</v>
      </c>
      <c r="B78" s="52">
        <v>75</v>
      </c>
      <c r="C78" s="19" t="s">
        <v>330</v>
      </c>
      <c r="D78" s="20" t="s">
        <v>317</v>
      </c>
      <c r="E78" s="4" t="s">
        <v>318</v>
      </c>
      <c r="F78" s="4" t="s">
        <v>328</v>
      </c>
      <c r="G78" s="4" t="s">
        <v>331</v>
      </c>
      <c r="H78" s="10">
        <v>64375</v>
      </c>
      <c r="I78" s="17">
        <v>7.2</v>
      </c>
      <c r="J78" s="15">
        <v>1</v>
      </c>
      <c r="K78" s="4" t="s">
        <v>210</v>
      </c>
      <c r="L78" s="4" t="s">
        <v>262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53" t="s">
        <v>901</v>
      </c>
      <c r="B79" s="52">
        <v>76</v>
      </c>
      <c r="C79" s="18" t="s">
        <v>332</v>
      </c>
      <c r="D79" s="9">
        <v>26516179</v>
      </c>
      <c r="E79" s="4" t="s">
        <v>333</v>
      </c>
      <c r="F79" s="4" t="s">
        <v>334</v>
      </c>
      <c r="G79" s="4" t="s">
        <v>335</v>
      </c>
      <c r="H79" s="10">
        <v>28706</v>
      </c>
      <c r="I79" s="17">
        <v>6.3562500000000002</v>
      </c>
      <c r="J79" s="15">
        <v>1</v>
      </c>
      <c r="K79" s="4" t="s">
        <v>210</v>
      </c>
      <c r="L79" s="4" t="s">
        <v>262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53" t="s">
        <v>902</v>
      </c>
      <c r="B80" s="52">
        <v>77</v>
      </c>
      <c r="C80" s="19" t="s">
        <v>336</v>
      </c>
      <c r="D80" s="20">
        <v>26516179</v>
      </c>
      <c r="E80" s="4" t="s">
        <v>333</v>
      </c>
      <c r="F80" s="4" t="s">
        <v>337</v>
      </c>
      <c r="G80" s="4" t="s">
        <v>338</v>
      </c>
      <c r="H80" s="10">
        <v>65376</v>
      </c>
      <c r="I80" s="17">
        <v>6.3562500000000002</v>
      </c>
      <c r="J80" s="15">
        <v>1</v>
      </c>
      <c r="K80" s="4" t="s">
        <v>210</v>
      </c>
      <c r="L80" s="4" t="s">
        <v>262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53" t="s">
        <v>903</v>
      </c>
      <c r="B81" s="52">
        <v>78</v>
      </c>
      <c r="C81" s="18" t="s">
        <v>339</v>
      </c>
      <c r="D81" s="9">
        <v>26516179</v>
      </c>
      <c r="E81" s="4" t="s">
        <v>333</v>
      </c>
      <c r="F81" s="4" t="s">
        <v>340</v>
      </c>
      <c r="G81" s="4" t="s">
        <v>341</v>
      </c>
      <c r="H81" s="10">
        <v>2792</v>
      </c>
      <c r="I81" s="17">
        <v>4.3875000000000002</v>
      </c>
      <c r="J81" s="15">
        <v>1</v>
      </c>
      <c r="K81" s="4" t="s">
        <v>210</v>
      </c>
      <c r="L81" s="4" t="s">
        <v>262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53" t="s">
        <v>904</v>
      </c>
      <c r="B82" s="52">
        <v>79</v>
      </c>
      <c r="C82" s="19" t="s">
        <v>342</v>
      </c>
      <c r="D82" s="20">
        <v>26516179</v>
      </c>
      <c r="E82" s="4" t="s">
        <v>333</v>
      </c>
      <c r="F82" s="4" t="s">
        <v>328</v>
      </c>
      <c r="G82" s="4" t="s">
        <v>326</v>
      </c>
      <c r="H82" s="10">
        <v>7540</v>
      </c>
      <c r="I82" s="17">
        <v>5.5125000000000002</v>
      </c>
      <c r="J82" s="15">
        <v>1</v>
      </c>
      <c r="K82" s="4" t="s">
        <v>210</v>
      </c>
      <c r="L82" s="4" t="s">
        <v>262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53" t="s">
        <v>905</v>
      </c>
      <c r="B83" s="52">
        <v>80</v>
      </c>
      <c r="C83" s="18" t="s">
        <v>343</v>
      </c>
      <c r="D83" s="9">
        <v>26516179</v>
      </c>
      <c r="E83" s="4" t="s">
        <v>333</v>
      </c>
      <c r="F83" s="4" t="s">
        <v>344</v>
      </c>
      <c r="G83" s="4" t="s">
        <v>345</v>
      </c>
      <c r="H83" s="10">
        <f>6054+29822+19101</f>
        <v>54977</v>
      </c>
      <c r="I83" s="17">
        <v>10.293749999999999</v>
      </c>
      <c r="J83" s="15">
        <v>1</v>
      </c>
      <c r="K83" s="4" t="s">
        <v>210</v>
      </c>
      <c r="L83" s="4" t="s">
        <v>262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53" t="s">
        <v>906</v>
      </c>
      <c r="B84" s="52">
        <v>81</v>
      </c>
      <c r="C84" s="19" t="s">
        <v>346</v>
      </c>
      <c r="D84" s="20" t="s">
        <v>317</v>
      </c>
      <c r="E84" s="4" t="s">
        <v>318</v>
      </c>
      <c r="F84" s="4" t="s">
        <v>347</v>
      </c>
      <c r="G84" s="4" t="s">
        <v>107</v>
      </c>
      <c r="H84" s="10">
        <v>60400</v>
      </c>
      <c r="I84" s="17">
        <v>17.381250000000001</v>
      </c>
      <c r="J84" s="15">
        <v>1</v>
      </c>
      <c r="K84" s="4" t="s">
        <v>210</v>
      </c>
      <c r="L84" s="4" t="s">
        <v>262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53" t="s">
        <v>907</v>
      </c>
      <c r="B85" s="52">
        <v>82</v>
      </c>
      <c r="C85" s="18" t="s">
        <v>348</v>
      </c>
      <c r="D85" s="9">
        <v>26516314</v>
      </c>
      <c r="E85" s="4" t="s">
        <v>349</v>
      </c>
      <c r="F85" s="4" t="s">
        <v>350</v>
      </c>
      <c r="G85" s="4" t="s">
        <v>107</v>
      </c>
      <c r="H85" s="10">
        <v>52800</v>
      </c>
      <c r="I85" s="17">
        <v>12.99375</v>
      </c>
      <c r="J85" s="15">
        <v>1</v>
      </c>
      <c r="K85" s="4" t="s">
        <v>210</v>
      </c>
      <c r="L85" s="4" t="s">
        <v>262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53" t="s">
        <v>908</v>
      </c>
      <c r="B86" s="52">
        <v>83</v>
      </c>
      <c r="C86" s="19" t="s">
        <v>351</v>
      </c>
      <c r="D86" s="20">
        <v>26516136</v>
      </c>
      <c r="E86" s="4" t="s">
        <v>352</v>
      </c>
      <c r="F86" s="4" t="s">
        <v>353</v>
      </c>
      <c r="G86" s="4" t="s">
        <v>354</v>
      </c>
      <c r="H86" s="10">
        <v>20951</v>
      </c>
      <c r="I86" s="17">
        <v>3.3562500000000002</v>
      </c>
      <c r="J86" s="15">
        <v>1</v>
      </c>
      <c r="K86" s="4" t="s">
        <v>210</v>
      </c>
      <c r="L86" s="4" t="s">
        <v>262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53" t="s">
        <v>909</v>
      </c>
      <c r="B87" s="52">
        <v>84</v>
      </c>
      <c r="C87" s="18" t="s">
        <v>355</v>
      </c>
      <c r="D87" s="9">
        <v>26516381</v>
      </c>
      <c r="E87" s="4" t="s">
        <v>356</v>
      </c>
      <c r="F87" s="4" t="s">
        <v>357</v>
      </c>
      <c r="G87" s="4" t="s">
        <v>358</v>
      </c>
      <c r="H87" s="10">
        <v>65500</v>
      </c>
      <c r="I87" s="17">
        <v>19.631250000000001</v>
      </c>
      <c r="J87" s="15">
        <v>1</v>
      </c>
      <c r="K87" s="4" t="s">
        <v>210</v>
      </c>
      <c r="L87" s="4" t="s">
        <v>262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53" t="s">
        <v>910</v>
      </c>
      <c r="B88" s="52">
        <v>85</v>
      </c>
      <c r="C88" s="19" t="s">
        <v>359</v>
      </c>
      <c r="D88" s="20">
        <v>26516381</v>
      </c>
      <c r="E88" s="4" t="s">
        <v>356</v>
      </c>
      <c r="F88" s="4" t="s">
        <v>360</v>
      </c>
      <c r="G88" s="4" t="s">
        <v>361</v>
      </c>
      <c r="H88" s="10">
        <v>2535</v>
      </c>
      <c r="I88" s="17">
        <v>5.625</v>
      </c>
      <c r="J88" s="15">
        <v>1</v>
      </c>
      <c r="K88" s="4" t="s">
        <v>210</v>
      </c>
      <c r="L88" s="4" t="s">
        <v>262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53" t="s">
        <v>911</v>
      </c>
      <c r="B89" s="52">
        <v>86</v>
      </c>
      <c r="C89" s="18" t="s">
        <v>362</v>
      </c>
      <c r="D89" s="9">
        <v>26516314</v>
      </c>
      <c r="E89" s="4" t="s">
        <v>349</v>
      </c>
      <c r="F89" s="4" t="s">
        <v>337</v>
      </c>
      <c r="G89" s="4" t="s">
        <v>363</v>
      </c>
      <c r="H89" s="10">
        <v>16728</v>
      </c>
      <c r="I89" s="17">
        <v>4.3875000000000002</v>
      </c>
      <c r="J89" s="15">
        <v>1</v>
      </c>
      <c r="K89" s="4" t="s">
        <v>210</v>
      </c>
      <c r="L89" s="4" t="s">
        <v>262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53" t="s">
        <v>912</v>
      </c>
      <c r="B90" s="52">
        <v>87</v>
      </c>
      <c r="C90" s="20" t="s">
        <v>364</v>
      </c>
      <c r="D90" s="20">
        <v>96421355</v>
      </c>
      <c r="E90" s="4" t="s">
        <v>365</v>
      </c>
      <c r="F90" s="4" t="s">
        <v>366</v>
      </c>
      <c r="G90" s="4" t="s">
        <v>367</v>
      </c>
      <c r="H90" s="10">
        <v>1160000</v>
      </c>
      <c r="I90" s="17">
        <v>9</v>
      </c>
      <c r="J90" s="4" t="s">
        <v>26</v>
      </c>
      <c r="K90" s="4" t="s">
        <v>368</v>
      </c>
      <c r="L90" s="4" t="s">
        <v>369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53" t="s">
        <v>913</v>
      </c>
      <c r="B91" s="52">
        <v>88</v>
      </c>
      <c r="C91" s="9" t="s">
        <v>371</v>
      </c>
      <c r="D91" s="9" t="s">
        <v>372</v>
      </c>
      <c r="E91" s="4" t="s">
        <v>373</v>
      </c>
      <c r="F91" s="4" t="s">
        <v>374</v>
      </c>
      <c r="G91" s="4" t="s">
        <v>367</v>
      </c>
      <c r="H91" s="4">
        <f>1.75*10000</f>
        <v>17500</v>
      </c>
      <c r="I91" s="17" t="s">
        <v>375</v>
      </c>
      <c r="J91" s="4" t="s">
        <v>376</v>
      </c>
      <c r="K91" s="4" t="s">
        <v>133</v>
      </c>
      <c r="L91" s="4" t="s">
        <v>377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B92" s="4">
        <v>89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B93" s="4">
        <v>90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B94" s="4">
        <v>91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B95" s="4">
        <v>92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B96" s="4">
        <v>93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ht="15.75" customHeight="1">
      <c r="B97" s="4">
        <v>94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ht="15.75" customHeight="1">
      <c r="B98" s="4">
        <v>95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ht="15.75" customHeight="1">
      <c r="B99" s="4">
        <v>96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ht="15.75" customHeight="1">
      <c r="B100" s="4">
        <v>97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ht="15.75" customHeight="1">
      <c r="B101" s="4">
        <v>98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ht="15.75" customHeight="1">
      <c r="B102" s="4">
        <v>99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ht="15.75" customHeight="1">
      <c r="B103" s="4">
        <v>100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ht="15.75" customHeight="1">
      <c r="B104" s="4">
        <v>101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ht="15.75" customHeight="1">
      <c r="B105" s="4">
        <v>102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ht="15.75" customHeight="1">
      <c r="B106" s="4">
        <v>103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ht="15.75" customHeight="1">
      <c r="B107" s="4">
        <v>104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ht="15.75" customHeight="1">
      <c r="B108" s="4">
        <v>105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ht="15.75" customHeight="1">
      <c r="B109" s="4">
        <v>106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ht="15.75" customHeight="1">
      <c r="B110" s="4">
        <v>107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ht="15.75" customHeight="1">
      <c r="B111" s="4">
        <v>108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ht="15.75" customHeight="1">
      <c r="B112" s="4">
        <v>109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ht="15.75" customHeight="1">
      <c r="B113" s="4">
        <v>110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ht="15.75" customHeight="1">
      <c r="B114" s="4">
        <v>111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2:24" ht="15.75" customHeight="1">
      <c r="B115" s="4">
        <v>112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2:24" ht="15.75" customHeight="1">
      <c r="B116" s="4">
        <v>113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2:24" ht="15.75" customHeight="1">
      <c r="B117" s="4">
        <v>114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2:24" ht="15.75" customHeight="1">
      <c r="B118" s="4">
        <v>115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2:24" ht="15.75" customHeight="1">
      <c r="B119" s="4">
        <v>116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2:24" ht="15.75" customHeight="1">
      <c r="B120" s="4">
        <v>117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2:24" ht="15.75" customHeight="1">
      <c r="B121" s="4">
        <v>118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2:24" ht="15.75" customHeight="1">
      <c r="B122" s="4">
        <v>119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2:24" ht="15.75" customHeight="1">
      <c r="B123" s="4">
        <v>120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2:24" ht="15.75" customHeight="1">
      <c r="B124" s="4">
        <v>121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2:24" ht="15.75" customHeight="1">
      <c r="B125" s="4">
        <v>122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2:24" ht="15.75" customHeight="1">
      <c r="B126" s="4">
        <v>123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2:24" ht="15.75" customHeight="1">
      <c r="B127" s="4">
        <v>124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2:24" ht="15.75" customHeight="1">
      <c r="B128" s="4">
        <v>125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2:24" ht="15.75" customHeight="1">
      <c r="B129" s="4">
        <v>126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2:24" ht="15.75" customHeight="1">
      <c r="B130" s="4">
        <v>127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2:24" ht="15.75" customHeight="1">
      <c r="B131" s="4">
        <v>128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2:24" ht="15.75" customHeight="1">
      <c r="B132" s="4">
        <v>129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2:24" ht="15.75" customHeight="1">
      <c r="B133" s="4">
        <v>130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2:24" ht="15.75" customHeight="1">
      <c r="B134" s="4">
        <v>131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2:24" ht="15.75" customHeight="1">
      <c r="B135" s="4">
        <v>132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2:24" ht="15.75" customHeight="1">
      <c r="B136" s="4">
        <v>133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2:24" ht="15.75" customHeight="1">
      <c r="B137" s="4">
        <v>134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2:24" ht="15.75" customHeight="1">
      <c r="B138" s="4">
        <v>135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2:24" ht="15.75" customHeight="1">
      <c r="B139" s="4">
        <v>136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2:24" ht="15.75" customHeight="1">
      <c r="B140" s="4">
        <v>137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2:24" ht="15.75" customHeight="1">
      <c r="B141" s="4">
        <v>138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2:24" ht="15.75" customHeight="1">
      <c r="B142" s="4">
        <v>139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2:24" ht="15.75" customHeight="1">
      <c r="B143" s="4">
        <v>140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2:24" ht="15.75" customHeight="1">
      <c r="B144" s="4">
        <v>141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2:24" ht="15.75" customHeight="1">
      <c r="B145" s="4">
        <v>142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2:24" ht="15.75" customHeight="1">
      <c r="B146" s="4">
        <v>143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2:24" ht="15.75" customHeight="1">
      <c r="B147" s="4">
        <v>144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2:24" ht="15.75" customHeight="1">
      <c r="B148" s="4">
        <v>145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2:24" ht="15.75" customHeight="1">
      <c r="B149" s="4">
        <v>146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2:24" ht="15.75" customHeight="1">
      <c r="B150" s="4">
        <v>147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2:24" ht="15.75" customHeight="1">
      <c r="B151" s="4">
        <v>148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2:24" ht="15.75" customHeight="1">
      <c r="B152" s="4">
        <v>149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2:24" ht="15.75" customHeight="1">
      <c r="B153" s="4">
        <v>150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2:24" ht="15.75" customHeight="1">
      <c r="B154" s="4">
        <v>151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2:24" ht="15.75" customHeight="1">
      <c r="B155" s="4">
        <v>152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2:24" ht="15.75" customHeight="1">
      <c r="B156" s="4">
        <v>153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2:24" ht="15.75" customHeight="1">
      <c r="B157" s="4">
        <v>154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2:24" ht="15.75" customHeight="1">
      <c r="B158" s="4">
        <v>155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2:24" ht="15.75" customHeight="1">
      <c r="B159" s="4">
        <v>156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2:24" ht="15.75" customHeight="1">
      <c r="B160" s="4">
        <v>157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2:24" ht="15.75" customHeight="1">
      <c r="B161" s="4">
        <v>158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2:24" ht="15.75" customHeight="1">
      <c r="B162" s="4">
        <v>159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2:24" ht="15.75" customHeight="1">
      <c r="B163" s="4">
        <v>160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2:24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2:24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2:24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2:24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2:24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2:24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2:24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2:24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2:24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2:24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2:24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2:24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2:24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2:24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2:24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2:24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2:24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2:24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2:24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2:24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2:24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2:24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2:24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2:24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2:24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2:24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2:24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2:24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2:24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2:24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2:24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2:24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2:24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2:24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2:24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2:24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2:24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2:24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2:24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2:24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2:24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2:24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2:24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2:24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2:24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2:24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2:24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2:24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2:24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2:24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2:24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2:24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2:24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2:24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2:24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2:24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2:24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2:24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2:24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2:24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2:24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2:24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2:24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2:24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2:24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2:24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2:24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2:24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2:24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2:24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2:24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2:24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2:24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2:24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2:24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2:24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2:24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2:24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2:24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2:24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2:24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2:24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2:24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2:24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2:24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2:24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2:24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2:24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2:24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2:24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2:24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2:24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2:24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2:24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2:24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2:24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2:24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2:24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2:24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2:24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2:24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2:24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2:24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2:24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2:24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2:24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2:24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2:24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2:24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2:24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2:24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2:24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2:24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2:24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2:24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2:24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2:24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2:24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2:24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2:24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2:24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2:24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2:24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2:24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2:24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2:24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2:24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2:24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2:24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2:24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2:24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2:24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2:24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2:24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2:24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2:24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2:24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2:24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2:24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2:24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2:24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2:24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2:24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2:24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2:24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2:24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2:24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2:24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2:24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2:24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2:24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2:24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2:24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2:24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2:24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2:24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2:24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2:24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2:24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2:24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2:24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2:24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2:24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2:24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2:24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2:24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2:24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2:24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2:24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2:24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2:24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2:24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2:24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2:24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2:24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2:24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2:24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2:24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2:24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2:24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2:24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2:24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2:24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2:24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2:24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2:24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2:24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2:24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2:24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2:24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2:24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2:24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2:24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2:24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2:24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2:24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2:24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2:24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2:24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2:24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2:24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2:24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2:24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2:24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2:24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2:24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2:24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2:24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2:24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2:24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2:24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2:24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2:24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2:24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2:24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2:24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2:24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2:24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2:24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2:24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2:24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2:24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2:24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2:24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2:24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2:24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2:24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2:24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2:24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2:24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2:24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2:24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2:24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2:24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2:24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2:24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2:24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2:24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2:24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2:24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2:24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2:24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2:24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2:24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2:24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2:24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2:24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2:24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2:24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2:24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2:24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2:24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2:24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2:24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2:24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2:24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2:24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2:24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2:24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2:24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2:24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2:24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2:24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2:24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2:24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2:24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2:24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2:24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2:24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2:24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2:24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2:24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2:24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2:24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2:24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2:24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2:24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2:24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2:24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2:24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2:24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2:24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2:24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2:24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2:24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2:24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2:24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2:24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2:24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2:24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2:24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2:24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2:24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2:24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2:24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2:24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2:24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2:24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2:24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2:24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2:24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2:24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2:24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2:24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2:24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2:24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2:24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2:24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2:24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2:24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2:24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2:24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2:24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2:24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2:24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2:24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2:24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2:24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2:24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2:24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2:24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2:24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2:24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2:24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2:24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2:24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2:24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2:24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2:24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2:24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2:24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2:24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2:24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2:24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2:24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2:24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2:24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2:24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2:24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2:24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2:24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2:24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2:24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2:24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2:24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2:24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2:24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2:24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2:24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2:24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2:24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2:24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2:24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2:24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2:24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2:24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2:24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2:24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2:24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2:24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2:24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2:24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2:24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2:24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2:24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2:24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2:24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2:24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2:24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2:24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2:24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2:24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2:24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2:24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2:24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2:24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2:24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2:24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2:24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2:24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2:24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2:24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2:24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2:24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2:24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2:24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2:24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2:24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2:24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2:24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2:24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2:24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2:24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2:24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2:24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2:24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2:24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2:24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2:24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2:24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2:24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2:24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2:24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2:24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2:24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2:24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2:24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2:24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2:24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2:24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2:24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2:24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2:24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2:24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2:24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2:24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2:24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2:24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2:24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2:24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2:24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2:24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2:24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2:24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2:24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2:24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2:24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2:24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2:24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2:24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2:24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2:24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2:24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2:24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2:24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2:24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2:24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2:24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2:24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2:24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2:24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2:24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2:24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2:24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2:24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2:24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2:24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2:24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2:24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2:24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2:24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2:24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2:24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2:24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2:24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2:24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2:24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2:24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2:24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2:24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2:24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2:24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2:24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2:24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2:24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2:24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2:24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2:24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2:24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2:24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2:24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2:24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2:24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2:24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2:24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2:24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2:24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2:24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2:24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2:24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2:24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2:24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2:24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2:24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2:24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2:24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2:24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2:24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2:24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2:24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2:24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2:24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2:24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2:24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2:24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2:24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2:24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2:24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2:24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2:24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2:24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2:24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2:24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2:24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2:24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2:24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2:24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2:24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2:24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2:24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2:24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2:24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2:24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2:24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2:24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2:24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2:24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2:24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2:24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2:24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2:24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2:24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2:24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2:24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2:24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2:24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2:24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2:24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2:24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2:24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2:24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2:24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2:24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2:24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2:24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2:24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2:24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2:24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2:24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2:24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2:24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2:24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2:24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2:24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2:24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2:24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2:24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2:24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2:24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2:24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2:24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2:24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2:24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2:24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2:24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2:24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2:24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2:24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2:24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2:24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2:24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2:24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2:24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2:24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2:24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2:24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2:24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2:24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2:24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2:24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2:24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2:24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2:24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2:24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2:24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2:24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2:24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2:24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2:24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2:24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2:24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2:24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2:24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2:24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2:24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2:24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2:24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2:24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2:24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2:24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2:24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2:24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2:24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2:24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2:24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2:24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2:24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2:24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2:24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2:24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2:24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2:24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2:24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2:24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2:24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2:24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2:24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2:24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2:24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2:24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2:24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2:24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2:24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2:24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2:24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2:24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2:24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2:24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2:24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2:24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2:24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2:24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2:24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2:24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2:24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2:24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2:24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2:24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2:24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2:24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2:24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2:24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2:24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2:24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2:24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2:24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2:24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2:24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2:24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2:24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2:24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2:24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2:24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2:24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2:24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2:24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2:24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2:24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2:24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2:24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2:24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2:24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2:24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2:24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2:24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2:24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2:24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2:24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2:24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2:24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2:24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2:24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2:24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2:24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2:24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2:24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2:24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2:24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2:24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2:24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2:24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2:24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2:24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2:24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2:24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2:24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2:24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2:24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2:24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2:24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2:24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2:24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2:24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2:24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2:24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2:24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2:24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2:24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2:24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2:24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2:24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2:24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2:24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2:24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2:24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2:24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2:24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2:24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2:24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2:24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2:24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2:24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2:24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2:24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2:24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2:24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2:24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2:24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2:24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2:24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2:24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2:24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2:24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2:24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2:24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2:24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2:24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2:24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2:24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2:24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2:24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2:24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2:24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2:24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2:24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2:24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2:24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2:24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2:24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2:24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2:24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2:24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2:24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2:24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2:24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2:24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2:24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2:24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2:24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2:24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2:24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2:24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2:24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2:24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2:24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2:24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2:24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2:24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2:24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2:24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2:24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2:24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2:24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2:24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2:24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2:24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2:24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2:24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2:24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2:24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2:24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2:24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2:24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2:24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2:24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2:24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2:24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2:24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2:24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2:24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2:24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2:24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2:24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2:24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2:24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2:24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2:24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2:24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2:24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2:24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2:24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2:24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2:24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2:24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2:24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2:24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2:24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2:24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2:24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2:24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2:24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2:24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2:24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2:24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2:24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2:24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2:24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2:24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2:24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2:24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2:24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2:24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2:24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2:24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2:24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2:24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2:24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2:24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2:24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2:24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2:24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2:24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2:24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2:24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2:24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2:24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2:24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2:24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2:24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2:24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2:24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2:24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2:24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2:24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2:24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2:24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2:24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2:24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2:24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2:24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2:24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2:24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2:24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2:24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2:24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2:24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2:24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2:24" ht="15.75" customHeight="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autoFilter ref="B2:H45" xr:uid="{00000000-0009-0000-0000-000002000000}"/>
  <mergeCells count="1">
    <mergeCell ref="B1:L1"/>
  </mergeCells>
  <phoneticPr fontId="24" type="noConversion"/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C13" r:id="rId10" xr:uid="{00000000-0004-0000-0200-000009000000}"/>
    <hyperlink ref="C14" r:id="rId11" xr:uid="{00000000-0004-0000-0200-00000A000000}"/>
    <hyperlink ref="C15" r:id="rId12" xr:uid="{00000000-0004-0000-0200-00000B000000}"/>
    <hyperlink ref="C16" r:id="rId13" xr:uid="{00000000-0004-0000-0200-00000C000000}"/>
    <hyperlink ref="C17" r:id="rId14" xr:uid="{00000000-0004-0000-0200-00000D000000}"/>
    <hyperlink ref="C19" r:id="rId15" xr:uid="{00000000-0004-0000-0200-00000E000000}"/>
    <hyperlink ref="C20" r:id="rId16" xr:uid="{00000000-0004-0000-0200-00000F000000}"/>
    <hyperlink ref="E21" r:id="rId17" xr:uid="{00000000-0004-0000-0200-000010000000}"/>
    <hyperlink ref="E22" r:id="rId18" xr:uid="{00000000-0004-0000-0200-000011000000}"/>
    <hyperlink ref="C37" r:id="rId19" xr:uid="{00000000-0004-0000-0200-000012000000}"/>
    <hyperlink ref="C38" r:id="rId20" xr:uid="{00000000-0004-0000-0200-000013000000}"/>
    <hyperlink ref="C39" r:id="rId21" xr:uid="{00000000-0004-0000-0200-000014000000}"/>
    <hyperlink ref="C40" r:id="rId22" xr:uid="{00000000-0004-0000-0200-000015000000}"/>
    <hyperlink ref="C41" r:id="rId23" xr:uid="{00000000-0004-0000-0200-000016000000}"/>
    <hyperlink ref="C42" r:id="rId24" xr:uid="{00000000-0004-0000-0200-000017000000}"/>
    <hyperlink ref="C43" r:id="rId25" xr:uid="{00000000-0004-0000-0200-000018000000}"/>
    <hyperlink ref="C44" r:id="rId26" xr:uid="{00000000-0004-0000-0200-000019000000}"/>
    <hyperlink ref="C45" r:id="rId27" xr:uid="{00000000-0004-0000-0200-00001A000000}"/>
    <hyperlink ref="C46" r:id="rId28" xr:uid="{00000000-0004-0000-0200-00001B000000}"/>
    <hyperlink ref="C57" r:id="rId29" xr:uid="{00000000-0004-0000-0200-00001C000000}"/>
    <hyperlink ref="C58" r:id="rId30" xr:uid="{00000000-0004-0000-0200-00001D000000}"/>
    <hyperlink ref="C59" r:id="rId31" xr:uid="{00000000-0004-0000-0200-00001E000000}"/>
    <hyperlink ref="C60" r:id="rId32" xr:uid="{00000000-0004-0000-0200-00001F000000}"/>
    <hyperlink ref="C61" r:id="rId33" xr:uid="{00000000-0004-0000-0200-000020000000}"/>
    <hyperlink ref="C62" r:id="rId34" xr:uid="{00000000-0004-0000-0200-000021000000}"/>
    <hyperlink ref="C63" r:id="rId35" xr:uid="{00000000-0004-0000-0200-000022000000}"/>
    <hyperlink ref="C64" r:id="rId36" xr:uid="{00000000-0004-0000-0200-000023000000}"/>
    <hyperlink ref="C65" r:id="rId37" xr:uid="{00000000-0004-0000-0200-000024000000}"/>
    <hyperlink ref="C66" r:id="rId38" xr:uid="{00000000-0004-0000-0200-000025000000}"/>
    <hyperlink ref="C67" r:id="rId39" xr:uid="{00000000-0004-0000-0200-000026000000}"/>
    <hyperlink ref="C68" r:id="rId40" xr:uid="{00000000-0004-0000-0200-000027000000}"/>
    <hyperlink ref="C69" r:id="rId41" xr:uid="{00000000-0004-0000-0200-000028000000}"/>
    <hyperlink ref="C70" r:id="rId42" xr:uid="{00000000-0004-0000-0200-000029000000}"/>
    <hyperlink ref="C71" r:id="rId43" xr:uid="{00000000-0004-0000-0200-00002A000000}"/>
    <hyperlink ref="C72" r:id="rId44" xr:uid="{00000000-0004-0000-0200-00002B000000}"/>
    <hyperlink ref="C73" r:id="rId45" xr:uid="{00000000-0004-0000-0200-00002C000000}"/>
    <hyperlink ref="C74" r:id="rId46" xr:uid="{00000000-0004-0000-0200-00002D000000}"/>
    <hyperlink ref="C75" r:id="rId47" xr:uid="{00000000-0004-0000-0200-00002E000000}"/>
    <hyperlink ref="C76" r:id="rId48" xr:uid="{00000000-0004-0000-0200-00002F000000}"/>
    <hyperlink ref="C77" r:id="rId49" xr:uid="{00000000-0004-0000-0200-000030000000}"/>
    <hyperlink ref="C78" r:id="rId50" xr:uid="{00000000-0004-0000-0200-000031000000}"/>
    <hyperlink ref="C79" r:id="rId51" xr:uid="{00000000-0004-0000-0200-000032000000}"/>
    <hyperlink ref="C80" r:id="rId52" xr:uid="{00000000-0004-0000-0200-000033000000}"/>
    <hyperlink ref="C81" r:id="rId53" xr:uid="{00000000-0004-0000-0200-000034000000}"/>
    <hyperlink ref="C82" r:id="rId54" xr:uid="{00000000-0004-0000-0200-000035000000}"/>
    <hyperlink ref="C83" r:id="rId55" xr:uid="{00000000-0004-0000-0200-000036000000}"/>
    <hyperlink ref="C84" r:id="rId56" xr:uid="{00000000-0004-0000-0200-000037000000}"/>
    <hyperlink ref="C85" r:id="rId57" xr:uid="{00000000-0004-0000-0200-000038000000}"/>
    <hyperlink ref="C86" r:id="rId58" xr:uid="{00000000-0004-0000-0200-000039000000}"/>
    <hyperlink ref="C87" r:id="rId59" xr:uid="{00000000-0004-0000-0200-00003A000000}"/>
    <hyperlink ref="C88" r:id="rId60" xr:uid="{00000000-0004-0000-0200-00003B000000}"/>
    <hyperlink ref="C89" r:id="rId61" xr:uid="{00000000-0004-0000-0200-00003C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997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ColWidth="11.1640625" defaultRowHeight="15" customHeight="1"/>
  <cols>
    <col min="1" max="1" width="10.5" customWidth="1"/>
    <col min="2" max="2" width="5.83203125" customWidth="1"/>
    <col min="3" max="3" width="21.6640625" customWidth="1"/>
    <col min="4" max="4" width="10.5" customWidth="1"/>
    <col min="5" max="5" width="26.83203125" customWidth="1"/>
    <col min="6" max="6" width="17.5" customWidth="1"/>
    <col min="7" max="7" width="17" customWidth="1"/>
    <col min="8" max="8" width="20.1640625" customWidth="1"/>
    <col min="9" max="9" width="12.1640625" customWidth="1"/>
    <col min="10" max="10" width="10.5" customWidth="1"/>
    <col min="11" max="11" width="13.6640625" customWidth="1"/>
    <col min="12" max="12" width="10.5" customWidth="1"/>
    <col min="13" max="13" width="11.83203125" customWidth="1"/>
    <col min="14" max="29" width="10.5" customWidth="1"/>
  </cols>
  <sheetData>
    <row r="1" spans="1:29" ht="31.5" customHeight="1">
      <c r="B1" s="45" t="s">
        <v>370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2" t="s">
        <v>1091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379</v>
      </c>
      <c r="G2" s="2" t="s">
        <v>380</v>
      </c>
      <c r="H2" s="2" t="s">
        <v>7</v>
      </c>
      <c r="I2" s="2" t="s">
        <v>381</v>
      </c>
      <c r="J2" s="2" t="s">
        <v>9</v>
      </c>
      <c r="K2" s="2" t="s">
        <v>382</v>
      </c>
      <c r="L2" s="2" t="s">
        <v>11</v>
      </c>
      <c r="M2" s="2" t="s">
        <v>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4" t="s">
        <v>914</v>
      </c>
      <c r="B3" s="4">
        <v>1</v>
      </c>
      <c r="C3" s="4" t="s">
        <v>383</v>
      </c>
      <c r="D3" s="4">
        <v>75475294</v>
      </c>
      <c r="E3" s="6" t="s">
        <v>384</v>
      </c>
      <c r="F3" s="4" t="s">
        <v>386</v>
      </c>
      <c r="G3" s="4" t="s">
        <v>387</v>
      </c>
      <c r="H3" s="4" t="s">
        <v>388</v>
      </c>
      <c r="I3" s="10">
        <v>15000</v>
      </c>
      <c r="J3" s="17">
        <v>4</v>
      </c>
      <c r="K3" s="4" t="s">
        <v>389</v>
      </c>
      <c r="L3" s="4" t="s">
        <v>390</v>
      </c>
      <c r="M3" s="4" t="s">
        <v>391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4" t="s">
        <v>915</v>
      </c>
      <c r="B4" s="4">
        <v>2</v>
      </c>
      <c r="C4" s="4" t="s">
        <v>383</v>
      </c>
      <c r="D4" s="4">
        <v>75475294</v>
      </c>
      <c r="E4" s="4" t="s">
        <v>384</v>
      </c>
      <c r="F4" s="4" t="s">
        <v>392</v>
      </c>
      <c r="G4" s="4" t="s">
        <v>387</v>
      </c>
      <c r="H4" s="4" t="s">
        <v>388</v>
      </c>
      <c r="I4" s="10">
        <v>10000</v>
      </c>
      <c r="J4" s="17">
        <v>4</v>
      </c>
      <c r="K4" s="4" t="s">
        <v>389</v>
      </c>
      <c r="L4" s="4" t="s">
        <v>390</v>
      </c>
      <c r="M4" s="4" t="s">
        <v>391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4" t="s">
        <v>916</v>
      </c>
      <c r="B5" s="4">
        <v>3</v>
      </c>
      <c r="C5" s="4" t="s">
        <v>383</v>
      </c>
      <c r="D5" s="4">
        <v>75475294</v>
      </c>
      <c r="E5" s="4" t="s">
        <v>384</v>
      </c>
      <c r="F5" s="4" t="s">
        <v>393</v>
      </c>
      <c r="G5" s="4" t="s">
        <v>387</v>
      </c>
      <c r="H5" s="4" t="s">
        <v>394</v>
      </c>
      <c r="I5" s="10">
        <v>20000</v>
      </c>
      <c r="J5" s="17">
        <v>4</v>
      </c>
      <c r="K5" s="4" t="s">
        <v>389</v>
      </c>
      <c r="L5" s="4" t="s">
        <v>390</v>
      </c>
      <c r="M5" s="4" t="s">
        <v>391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4" t="s">
        <v>917</v>
      </c>
      <c r="B6" s="4">
        <v>4</v>
      </c>
      <c r="C6" s="4" t="s">
        <v>383</v>
      </c>
      <c r="D6" s="4">
        <v>75475294</v>
      </c>
      <c r="E6" s="4" t="s">
        <v>384</v>
      </c>
      <c r="F6" s="4" t="s">
        <v>395</v>
      </c>
      <c r="G6" s="4" t="s">
        <v>387</v>
      </c>
      <c r="H6" s="4" t="s">
        <v>396</v>
      </c>
      <c r="I6" s="10">
        <v>20000</v>
      </c>
      <c r="J6" s="17">
        <v>4</v>
      </c>
      <c r="K6" s="4" t="s">
        <v>389</v>
      </c>
      <c r="L6" s="4" t="s">
        <v>390</v>
      </c>
      <c r="M6" s="4" t="s">
        <v>391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>
      <c r="A7" s="4" t="s">
        <v>918</v>
      </c>
      <c r="B7" s="4">
        <v>5</v>
      </c>
      <c r="C7" s="4" t="s">
        <v>383</v>
      </c>
      <c r="D7" s="4">
        <v>75475294</v>
      </c>
      <c r="E7" s="4" t="s">
        <v>384</v>
      </c>
      <c r="F7" s="4" t="s">
        <v>397</v>
      </c>
      <c r="G7" s="4" t="s">
        <v>387</v>
      </c>
      <c r="H7" s="4" t="s">
        <v>398</v>
      </c>
      <c r="I7" s="10">
        <v>20000</v>
      </c>
      <c r="J7" s="17">
        <v>4</v>
      </c>
      <c r="K7" s="4" t="s">
        <v>389</v>
      </c>
      <c r="L7" s="4" t="s">
        <v>390</v>
      </c>
      <c r="M7" s="4" t="s">
        <v>391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4" t="s">
        <v>919</v>
      </c>
      <c r="B8" s="4">
        <v>6</v>
      </c>
      <c r="C8" s="4" t="s">
        <v>383</v>
      </c>
      <c r="D8" s="4">
        <v>75475294</v>
      </c>
      <c r="E8" s="4" t="s">
        <v>384</v>
      </c>
      <c r="F8" s="4" t="s">
        <v>399</v>
      </c>
      <c r="G8" s="4" t="s">
        <v>387</v>
      </c>
      <c r="H8" s="4" t="s">
        <v>398</v>
      </c>
      <c r="I8" s="10">
        <v>20000</v>
      </c>
      <c r="J8" s="17">
        <v>4</v>
      </c>
      <c r="K8" s="4" t="s">
        <v>389</v>
      </c>
      <c r="L8" s="4" t="s">
        <v>390</v>
      </c>
      <c r="M8" s="4" t="s">
        <v>391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>
      <c r="A9" s="4" t="s">
        <v>920</v>
      </c>
      <c r="B9" s="4">
        <v>7</v>
      </c>
      <c r="C9" s="4" t="s">
        <v>383</v>
      </c>
      <c r="D9" s="4">
        <v>75475294</v>
      </c>
      <c r="E9" s="4" t="s">
        <v>384</v>
      </c>
      <c r="F9" s="4" t="s">
        <v>400</v>
      </c>
      <c r="G9" s="4" t="s">
        <v>387</v>
      </c>
      <c r="H9" s="4" t="s">
        <v>401</v>
      </c>
      <c r="I9" s="10">
        <v>15000</v>
      </c>
      <c r="J9" s="17">
        <v>4</v>
      </c>
      <c r="K9" s="4" t="s">
        <v>389</v>
      </c>
      <c r="L9" s="4" t="s">
        <v>390</v>
      </c>
      <c r="M9" s="4" t="s">
        <v>391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>
      <c r="A10" s="4" t="s">
        <v>921</v>
      </c>
      <c r="B10" s="4">
        <v>8</v>
      </c>
      <c r="C10" s="4" t="s">
        <v>383</v>
      </c>
      <c r="D10" s="4">
        <v>75475294</v>
      </c>
      <c r="E10" s="4" t="s">
        <v>384</v>
      </c>
      <c r="F10" s="4" t="s">
        <v>402</v>
      </c>
      <c r="G10" s="4" t="s">
        <v>387</v>
      </c>
      <c r="H10" s="4" t="s">
        <v>401</v>
      </c>
      <c r="I10" s="10">
        <v>15000</v>
      </c>
      <c r="J10" s="17">
        <v>4</v>
      </c>
      <c r="K10" s="4" t="s">
        <v>389</v>
      </c>
      <c r="L10" s="4" t="s">
        <v>390</v>
      </c>
      <c r="M10" s="4" t="s">
        <v>391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>
      <c r="A11" s="4" t="s">
        <v>922</v>
      </c>
      <c r="B11" s="4">
        <v>9</v>
      </c>
      <c r="C11" s="4" t="s">
        <v>383</v>
      </c>
      <c r="D11" s="4">
        <v>75475294</v>
      </c>
      <c r="E11" s="4" t="s">
        <v>384</v>
      </c>
      <c r="F11" s="4" t="s">
        <v>403</v>
      </c>
      <c r="G11" s="4" t="s">
        <v>387</v>
      </c>
      <c r="H11" s="4" t="s">
        <v>404</v>
      </c>
      <c r="I11" s="10">
        <v>10000</v>
      </c>
      <c r="J11" s="17">
        <v>4</v>
      </c>
      <c r="K11" s="4" t="s">
        <v>389</v>
      </c>
      <c r="L11" s="4" t="s">
        <v>390</v>
      </c>
      <c r="M11" s="4" t="s">
        <v>391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4" t="s">
        <v>923</v>
      </c>
      <c r="B12" s="4">
        <v>10</v>
      </c>
      <c r="C12" s="4" t="s">
        <v>383</v>
      </c>
      <c r="D12" s="4">
        <v>75475294</v>
      </c>
      <c r="E12" s="4" t="s">
        <v>384</v>
      </c>
      <c r="F12" s="4" t="s">
        <v>405</v>
      </c>
      <c r="G12" s="4" t="s">
        <v>387</v>
      </c>
      <c r="H12" s="4" t="s">
        <v>404</v>
      </c>
      <c r="I12" s="10">
        <v>8000</v>
      </c>
      <c r="J12" s="17">
        <v>4</v>
      </c>
      <c r="K12" s="4" t="s">
        <v>389</v>
      </c>
      <c r="L12" s="4" t="s">
        <v>390</v>
      </c>
      <c r="M12" s="4" t="s">
        <v>391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4" t="s">
        <v>924</v>
      </c>
      <c r="B13" s="4">
        <v>11</v>
      </c>
      <c r="C13" s="4" t="s">
        <v>383</v>
      </c>
      <c r="D13" s="4">
        <v>75475294</v>
      </c>
      <c r="E13" s="4" t="s">
        <v>384</v>
      </c>
      <c r="F13" s="4" t="s">
        <v>406</v>
      </c>
      <c r="G13" s="4" t="s">
        <v>387</v>
      </c>
      <c r="H13" s="4" t="s">
        <v>407</v>
      </c>
      <c r="I13" s="10">
        <v>20000</v>
      </c>
      <c r="J13" s="17">
        <v>4</v>
      </c>
      <c r="K13" s="4" t="s">
        <v>389</v>
      </c>
      <c r="L13" s="4" t="s">
        <v>390</v>
      </c>
      <c r="M13" s="4" t="s">
        <v>391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4" t="s">
        <v>925</v>
      </c>
      <c r="B14" s="4">
        <v>12</v>
      </c>
      <c r="C14" s="4" t="s">
        <v>383</v>
      </c>
      <c r="D14" s="4">
        <v>75475294</v>
      </c>
      <c r="E14" s="4" t="s">
        <v>384</v>
      </c>
      <c r="F14" s="4" t="s">
        <v>408</v>
      </c>
      <c r="G14" s="4" t="s">
        <v>387</v>
      </c>
      <c r="H14" s="4" t="s">
        <v>407</v>
      </c>
      <c r="I14" s="10">
        <v>8000</v>
      </c>
      <c r="J14" s="17">
        <v>4</v>
      </c>
      <c r="K14" s="4" t="s">
        <v>389</v>
      </c>
      <c r="L14" s="4" t="s">
        <v>390</v>
      </c>
      <c r="M14" s="4" t="s">
        <v>391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4" t="s">
        <v>926</v>
      </c>
      <c r="B15" s="4">
        <v>13</v>
      </c>
      <c r="C15" s="4" t="s">
        <v>383</v>
      </c>
      <c r="D15" s="4">
        <v>75475294</v>
      </c>
      <c r="E15" s="4" t="s">
        <v>384</v>
      </c>
      <c r="F15" s="4" t="s">
        <v>409</v>
      </c>
      <c r="G15" s="4" t="s">
        <v>387</v>
      </c>
      <c r="H15" s="4" t="s">
        <v>410</v>
      </c>
      <c r="I15" s="10">
        <v>20000</v>
      </c>
      <c r="J15" s="17">
        <v>4</v>
      </c>
      <c r="K15" s="4" t="s">
        <v>389</v>
      </c>
      <c r="L15" s="4" t="s">
        <v>390</v>
      </c>
      <c r="M15" s="4" t="s">
        <v>391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4" t="s">
        <v>927</v>
      </c>
      <c r="B16" s="4">
        <v>14</v>
      </c>
      <c r="C16" s="4" t="s">
        <v>383</v>
      </c>
      <c r="D16" s="4">
        <v>75475294</v>
      </c>
      <c r="E16" s="4" t="s">
        <v>384</v>
      </c>
      <c r="F16" s="4" t="s">
        <v>411</v>
      </c>
      <c r="G16" s="4" t="s">
        <v>387</v>
      </c>
      <c r="H16" s="4" t="s">
        <v>410</v>
      </c>
      <c r="I16" s="10">
        <v>20000</v>
      </c>
      <c r="J16" s="17">
        <v>4</v>
      </c>
      <c r="K16" s="4" t="s">
        <v>389</v>
      </c>
      <c r="L16" s="4" t="s">
        <v>390</v>
      </c>
      <c r="M16" s="4" t="s">
        <v>391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>
      <c r="A17" s="4" t="s">
        <v>928</v>
      </c>
      <c r="B17" s="4">
        <v>15</v>
      </c>
      <c r="C17" s="4" t="s">
        <v>383</v>
      </c>
      <c r="D17" s="4">
        <v>75475294</v>
      </c>
      <c r="E17" s="4" t="s">
        <v>384</v>
      </c>
      <c r="F17" s="4" t="s">
        <v>412</v>
      </c>
      <c r="G17" s="4" t="s">
        <v>387</v>
      </c>
      <c r="H17" s="4" t="s">
        <v>413</v>
      </c>
      <c r="I17" s="10">
        <v>15000</v>
      </c>
      <c r="J17" s="17">
        <v>4</v>
      </c>
      <c r="K17" s="4" t="s">
        <v>389</v>
      </c>
      <c r="L17" s="4" t="s">
        <v>390</v>
      </c>
      <c r="M17" s="4" t="s">
        <v>391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>
      <c r="A18" s="4" t="s">
        <v>929</v>
      </c>
      <c r="B18" s="4">
        <v>16</v>
      </c>
      <c r="C18" s="4" t="s">
        <v>383</v>
      </c>
      <c r="D18" s="4">
        <v>75475294</v>
      </c>
      <c r="E18" s="4" t="s">
        <v>384</v>
      </c>
      <c r="F18" s="4" t="s">
        <v>414</v>
      </c>
      <c r="G18" s="4" t="s">
        <v>387</v>
      </c>
      <c r="H18" s="4" t="s">
        <v>413</v>
      </c>
      <c r="I18" s="10">
        <v>10000</v>
      </c>
      <c r="J18" s="17">
        <v>4</v>
      </c>
      <c r="K18" s="4" t="s">
        <v>389</v>
      </c>
      <c r="L18" s="4" t="s">
        <v>390</v>
      </c>
      <c r="M18" s="4" t="s">
        <v>391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>
      <c r="A19" s="4" t="s">
        <v>930</v>
      </c>
      <c r="B19" s="4">
        <v>17</v>
      </c>
      <c r="C19" s="4" t="s">
        <v>383</v>
      </c>
      <c r="D19" s="4">
        <v>75475294</v>
      </c>
      <c r="E19" s="4" t="s">
        <v>384</v>
      </c>
      <c r="F19" s="4" t="s">
        <v>415</v>
      </c>
      <c r="G19" s="4" t="s">
        <v>387</v>
      </c>
      <c r="H19" s="4" t="s">
        <v>189</v>
      </c>
      <c r="I19" s="10">
        <v>15000</v>
      </c>
      <c r="J19" s="17">
        <v>4</v>
      </c>
      <c r="K19" s="4" t="s">
        <v>389</v>
      </c>
      <c r="L19" s="4" t="s">
        <v>390</v>
      </c>
      <c r="M19" s="4" t="s">
        <v>391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4" t="s">
        <v>931</v>
      </c>
      <c r="B20" s="4">
        <v>18</v>
      </c>
      <c r="C20" s="4" t="s">
        <v>383</v>
      </c>
      <c r="D20" s="4">
        <v>75475294</v>
      </c>
      <c r="E20" s="4" t="s">
        <v>384</v>
      </c>
      <c r="F20" s="4" t="s">
        <v>416</v>
      </c>
      <c r="G20" s="4" t="s">
        <v>387</v>
      </c>
      <c r="H20" s="4" t="s">
        <v>189</v>
      </c>
      <c r="I20" s="10">
        <v>20000</v>
      </c>
      <c r="J20" s="17">
        <v>4</v>
      </c>
      <c r="K20" s="4" t="s">
        <v>389</v>
      </c>
      <c r="L20" s="4" t="s">
        <v>390</v>
      </c>
      <c r="M20" s="4" t="s">
        <v>391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4" t="s">
        <v>932</v>
      </c>
      <c r="B21" s="4">
        <v>19</v>
      </c>
      <c r="C21" s="4" t="s">
        <v>383</v>
      </c>
      <c r="D21" s="4">
        <v>75475294</v>
      </c>
      <c r="E21" s="4" t="s">
        <v>384</v>
      </c>
      <c r="F21" s="4" t="s">
        <v>417</v>
      </c>
      <c r="G21" s="4" t="s">
        <v>387</v>
      </c>
      <c r="H21" s="4" t="s">
        <v>197</v>
      </c>
      <c r="I21" s="10">
        <v>20000</v>
      </c>
      <c r="J21" s="17">
        <v>4</v>
      </c>
      <c r="K21" s="4" t="s">
        <v>389</v>
      </c>
      <c r="L21" s="4" t="s">
        <v>390</v>
      </c>
      <c r="M21" s="4" t="s">
        <v>391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4" t="s">
        <v>933</v>
      </c>
      <c r="B22" s="4">
        <v>20</v>
      </c>
      <c r="C22" s="4" t="s">
        <v>383</v>
      </c>
      <c r="D22" s="4">
        <v>75475294</v>
      </c>
      <c r="E22" s="4" t="s">
        <v>384</v>
      </c>
      <c r="F22" s="4" t="s">
        <v>418</v>
      </c>
      <c r="G22" s="4" t="s">
        <v>387</v>
      </c>
      <c r="H22" s="4" t="s">
        <v>197</v>
      </c>
      <c r="I22" s="10">
        <v>15000</v>
      </c>
      <c r="J22" s="17">
        <v>4</v>
      </c>
      <c r="K22" s="4" t="s">
        <v>389</v>
      </c>
      <c r="L22" s="4" t="s">
        <v>390</v>
      </c>
      <c r="M22" s="4" t="s">
        <v>391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4" t="s">
        <v>934</v>
      </c>
      <c r="B23" s="4">
        <v>21</v>
      </c>
      <c r="C23" s="4" t="s">
        <v>419</v>
      </c>
      <c r="D23" s="4">
        <v>70130485</v>
      </c>
      <c r="E23" s="4" t="s">
        <v>420</v>
      </c>
      <c r="F23" s="4" t="s">
        <v>421</v>
      </c>
      <c r="G23" s="4" t="s">
        <v>422</v>
      </c>
      <c r="H23" s="4" t="s">
        <v>423</v>
      </c>
      <c r="I23" s="10">
        <v>948000</v>
      </c>
      <c r="J23" s="17">
        <v>12.85</v>
      </c>
      <c r="K23" s="4" t="s">
        <v>272</v>
      </c>
      <c r="L23" s="4" t="s">
        <v>424</v>
      </c>
      <c r="M23" s="4" t="s">
        <v>425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4" t="s">
        <v>935</v>
      </c>
      <c r="B24" s="4"/>
      <c r="C24" s="4" t="s">
        <v>419</v>
      </c>
      <c r="D24" s="4">
        <v>70130485</v>
      </c>
      <c r="E24" s="4" t="s">
        <v>814</v>
      </c>
      <c r="F24" s="4" t="s">
        <v>815</v>
      </c>
      <c r="G24" s="4" t="s">
        <v>445</v>
      </c>
      <c r="H24" s="4" t="s">
        <v>435</v>
      </c>
      <c r="I24" s="10">
        <v>2500000</v>
      </c>
      <c r="J24" s="17"/>
      <c r="K24" s="4" t="s">
        <v>26</v>
      </c>
      <c r="L24" s="4" t="s">
        <v>424</v>
      </c>
      <c r="M24" s="4" t="s">
        <v>436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4" t="s">
        <v>936</v>
      </c>
      <c r="B25" s="4">
        <v>22</v>
      </c>
      <c r="C25" s="4" t="s">
        <v>426</v>
      </c>
      <c r="D25" s="4">
        <v>26516179</v>
      </c>
      <c r="E25" s="4" t="s">
        <v>427</v>
      </c>
      <c r="F25" s="4" t="s">
        <v>428</v>
      </c>
      <c r="G25" s="4" t="s">
        <v>429</v>
      </c>
      <c r="H25" s="4" t="s">
        <v>430</v>
      </c>
      <c r="I25" s="10">
        <v>2393065</v>
      </c>
      <c r="J25" s="17">
        <v>28.125</v>
      </c>
      <c r="K25" s="15">
        <v>1</v>
      </c>
      <c r="L25" s="4" t="s">
        <v>431</v>
      </c>
      <c r="M25" s="42" t="s">
        <v>262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4" t="s">
        <v>937</v>
      </c>
      <c r="B26" s="4">
        <v>23</v>
      </c>
      <c r="C26" s="5" t="s">
        <v>432</v>
      </c>
      <c r="D26" s="4">
        <v>113792689</v>
      </c>
      <c r="E26" s="4" t="s">
        <v>432</v>
      </c>
      <c r="F26" s="4" t="s">
        <v>433</v>
      </c>
      <c r="G26" s="4" t="s">
        <v>434</v>
      </c>
      <c r="H26" s="4" t="s">
        <v>435</v>
      </c>
      <c r="I26" s="10">
        <v>6145603</v>
      </c>
      <c r="J26" s="17">
        <v>21.3</v>
      </c>
      <c r="K26" s="4" t="s">
        <v>272</v>
      </c>
      <c r="L26" s="41" t="s">
        <v>431</v>
      </c>
      <c r="M26" s="44" t="s">
        <v>436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4" t="s">
        <v>938</v>
      </c>
      <c r="B27" s="4">
        <v>24</v>
      </c>
      <c r="C27" s="4" t="s">
        <v>432</v>
      </c>
      <c r="D27" s="4">
        <v>113792689</v>
      </c>
      <c r="E27" s="4" t="s">
        <v>432</v>
      </c>
      <c r="F27" s="4" t="s">
        <v>437</v>
      </c>
      <c r="G27" s="4" t="s">
        <v>438</v>
      </c>
      <c r="H27" s="4" t="s">
        <v>435</v>
      </c>
      <c r="I27" s="10">
        <v>519124</v>
      </c>
      <c r="J27" s="17">
        <v>18.91</v>
      </c>
      <c r="K27" s="4" t="s">
        <v>272</v>
      </c>
      <c r="L27" s="41" t="s">
        <v>431</v>
      </c>
      <c r="M27" s="44" t="s">
        <v>436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4" t="s">
        <v>939</v>
      </c>
      <c r="B28" s="4">
        <v>25</v>
      </c>
      <c r="C28" s="6" t="s">
        <v>432</v>
      </c>
      <c r="D28" s="4">
        <v>113792689</v>
      </c>
      <c r="E28" s="4" t="s">
        <v>432</v>
      </c>
      <c r="F28" s="4" t="s">
        <v>439</v>
      </c>
      <c r="G28" s="4" t="s">
        <v>434</v>
      </c>
      <c r="H28" s="4" t="s">
        <v>435</v>
      </c>
      <c r="I28" s="10">
        <v>7252331</v>
      </c>
      <c r="J28" s="17">
        <v>21.3</v>
      </c>
      <c r="K28" s="4" t="s">
        <v>272</v>
      </c>
      <c r="L28" s="41" t="s">
        <v>431</v>
      </c>
      <c r="M28" s="44" t="s">
        <v>436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4" t="s">
        <v>940</v>
      </c>
      <c r="B29" s="4">
        <v>26</v>
      </c>
      <c r="C29" s="4" t="s">
        <v>432</v>
      </c>
      <c r="D29" s="4">
        <v>113792689</v>
      </c>
      <c r="E29" s="4" t="s">
        <v>432</v>
      </c>
      <c r="F29" s="4" t="s">
        <v>440</v>
      </c>
      <c r="G29" s="4" t="s">
        <v>441</v>
      </c>
      <c r="H29" s="4" t="s">
        <v>435</v>
      </c>
      <c r="I29" s="10">
        <v>464744</v>
      </c>
      <c r="J29" s="17">
        <v>17.79</v>
      </c>
      <c r="K29" s="4" t="s">
        <v>272</v>
      </c>
      <c r="L29" s="41" t="s">
        <v>431</v>
      </c>
      <c r="M29" s="44" t="s">
        <v>436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4" t="s">
        <v>941</v>
      </c>
      <c r="B30" s="4">
        <v>27</v>
      </c>
      <c r="C30" s="4" t="s">
        <v>442</v>
      </c>
      <c r="D30" s="4">
        <v>7847270</v>
      </c>
      <c r="E30" s="4" t="s">
        <v>443</v>
      </c>
      <c r="F30" s="8" t="s">
        <v>444</v>
      </c>
      <c r="G30" s="4" t="s">
        <v>445</v>
      </c>
      <c r="H30" s="4" t="s">
        <v>435</v>
      </c>
      <c r="I30" s="40" t="s">
        <v>810</v>
      </c>
      <c r="J30" s="17">
        <v>12.46</v>
      </c>
      <c r="K30" s="4" t="s">
        <v>26</v>
      </c>
      <c r="L30" s="4" t="s">
        <v>431</v>
      </c>
      <c r="M30" s="43" t="s">
        <v>262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4" t="s">
        <v>942</v>
      </c>
      <c r="B31" s="4">
        <v>28</v>
      </c>
      <c r="C31" s="4" t="s">
        <v>442</v>
      </c>
      <c r="D31" s="4">
        <v>7847270</v>
      </c>
      <c r="E31" s="4" t="s">
        <v>443</v>
      </c>
      <c r="F31" s="8" t="s">
        <v>446</v>
      </c>
      <c r="G31" s="4" t="s">
        <v>445</v>
      </c>
      <c r="H31" s="4" t="s">
        <v>435</v>
      </c>
      <c r="I31" s="40" t="s">
        <v>811</v>
      </c>
      <c r="J31" s="17">
        <v>12.46</v>
      </c>
      <c r="K31" s="4" t="s">
        <v>26</v>
      </c>
      <c r="L31" s="4" t="s">
        <v>431</v>
      </c>
      <c r="M31" s="4" t="s">
        <v>262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4" t="s">
        <v>943</v>
      </c>
      <c r="B32" s="4">
        <v>29</v>
      </c>
      <c r="C32" s="4" t="s">
        <v>442</v>
      </c>
      <c r="D32" s="4">
        <v>7847270</v>
      </c>
      <c r="E32" s="4" t="s">
        <v>443</v>
      </c>
      <c r="F32" s="8" t="s">
        <v>447</v>
      </c>
      <c r="G32" s="4" t="s">
        <v>445</v>
      </c>
      <c r="H32" s="4" t="s">
        <v>435</v>
      </c>
      <c r="I32" s="40" t="s">
        <v>812</v>
      </c>
      <c r="J32" s="17">
        <v>12.46</v>
      </c>
      <c r="K32" s="4" t="s">
        <v>26</v>
      </c>
      <c r="L32" s="4" t="s">
        <v>431</v>
      </c>
      <c r="M32" s="4" t="s">
        <v>262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4" t="s">
        <v>944</v>
      </c>
      <c r="B33" s="4">
        <v>30</v>
      </c>
      <c r="C33" s="4" t="s">
        <v>442</v>
      </c>
      <c r="D33" s="4">
        <v>7847270</v>
      </c>
      <c r="E33" s="4" t="s">
        <v>443</v>
      </c>
      <c r="F33" s="4"/>
      <c r="G33" s="4" t="s">
        <v>445</v>
      </c>
      <c r="H33" s="4" t="s">
        <v>435</v>
      </c>
      <c r="I33" s="40" t="s">
        <v>813</v>
      </c>
      <c r="J33" s="17">
        <v>12.46</v>
      </c>
      <c r="K33" s="4" t="s">
        <v>26</v>
      </c>
      <c r="L33" s="4" t="s">
        <v>431</v>
      </c>
      <c r="M33" s="4" t="s">
        <v>262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4" t="s">
        <v>945</v>
      </c>
      <c r="B34" s="4">
        <v>31</v>
      </c>
      <c r="C34" s="4" t="s">
        <v>448</v>
      </c>
      <c r="D34" s="4">
        <v>83427848</v>
      </c>
      <c r="E34" s="4" t="s">
        <v>449</v>
      </c>
      <c r="F34" s="4" t="s">
        <v>450</v>
      </c>
      <c r="G34" s="4" t="s">
        <v>445</v>
      </c>
      <c r="H34" s="4" t="s">
        <v>410</v>
      </c>
      <c r="I34" s="4"/>
      <c r="J34" s="17">
        <f>(125*1.125)/30</f>
        <v>4.6875</v>
      </c>
      <c r="K34" s="4" t="s">
        <v>26</v>
      </c>
      <c r="L34" s="4" t="s">
        <v>451</v>
      </c>
      <c r="M34" s="4" t="s">
        <v>262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4" t="s">
        <v>946</v>
      </c>
      <c r="B35" s="4">
        <v>32</v>
      </c>
      <c r="C35" s="4" t="s">
        <v>448</v>
      </c>
      <c r="D35" s="4">
        <v>83427848</v>
      </c>
      <c r="E35" s="4" t="s">
        <v>449</v>
      </c>
      <c r="F35" s="4" t="s">
        <v>452</v>
      </c>
      <c r="G35" s="4" t="s">
        <v>445</v>
      </c>
      <c r="H35" s="4" t="s">
        <v>410</v>
      </c>
      <c r="I35" s="4"/>
      <c r="J35" s="17">
        <f>(110*1.125)/30</f>
        <v>4.125</v>
      </c>
      <c r="K35" s="4" t="s">
        <v>26</v>
      </c>
      <c r="L35" s="4" t="s">
        <v>451</v>
      </c>
      <c r="M35" s="4" t="s">
        <v>262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4" t="s">
        <v>947</v>
      </c>
      <c r="B36" s="4">
        <v>33</v>
      </c>
      <c r="C36" s="4" t="s">
        <v>448</v>
      </c>
      <c r="D36" s="4">
        <v>83427848</v>
      </c>
      <c r="E36" s="4" t="s">
        <v>449</v>
      </c>
      <c r="F36" s="4" t="s">
        <v>453</v>
      </c>
      <c r="G36" s="4" t="s">
        <v>445</v>
      </c>
      <c r="H36" s="4" t="s">
        <v>410</v>
      </c>
      <c r="I36" s="4"/>
      <c r="J36" s="17">
        <f>(120*1.125)/30</f>
        <v>4.5</v>
      </c>
      <c r="K36" s="4" t="s">
        <v>26</v>
      </c>
      <c r="L36" s="4" t="s">
        <v>451</v>
      </c>
      <c r="M36" s="4" t="s">
        <v>262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4" t="s">
        <v>948</v>
      </c>
      <c r="B37" s="4">
        <v>34</v>
      </c>
      <c r="C37" s="4" t="s">
        <v>448</v>
      </c>
      <c r="D37" s="4">
        <v>83427848</v>
      </c>
      <c r="E37" s="4" t="s">
        <v>449</v>
      </c>
      <c r="F37" s="4" t="s">
        <v>454</v>
      </c>
      <c r="G37" s="4" t="s">
        <v>445</v>
      </c>
      <c r="H37" s="4" t="s">
        <v>410</v>
      </c>
      <c r="I37" s="4"/>
      <c r="J37" s="17">
        <f>(110*1.125)/30</f>
        <v>4.125</v>
      </c>
      <c r="K37" s="4" t="s">
        <v>26</v>
      </c>
      <c r="L37" s="4" t="s">
        <v>451</v>
      </c>
      <c r="M37" s="4" t="s">
        <v>262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4" t="s">
        <v>949</v>
      </c>
      <c r="B38" s="4">
        <v>35</v>
      </c>
      <c r="C38" s="4" t="s">
        <v>448</v>
      </c>
      <c r="D38" s="4">
        <v>83427848</v>
      </c>
      <c r="E38" s="4" t="s">
        <v>449</v>
      </c>
      <c r="F38" s="4" t="s">
        <v>455</v>
      </c>
      <c r="G38" s="4" t="s">
        <v>445</v>
      </c>
      <c r="H38" s="4" t="s">
        <v>410</v>
      </c>
      <c r="I38" s="4"/>
      <c r="J38" s="17">
        <f>(125*1.125)/30</f>
        <v>4.6875</v>
      </c>
      <c r="K38" s="4" t="s">
        <v>26</v>
      </c>
      <c r="L38" s="4" t="s">
        <v>451</v>
      </c>
      <c r="M38" s="4" t="s">
        <v>262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4" t="s">
        <v>950</v>
      </c>
      <c r="B39" s="4">
        <v>36</v>
      </c>
      <c r="C39" s="4" t="s">
        <v>448</v>
      </c>
      <c r="D39" s="4">
        <v>83427848</v>
      </c>
      <c r="E39" s="4" t="s">
        <v>449</v>
      </c>
      <c r="F39" s="4" t="s">
        <v>456</v>
      </c>
      <c r="G39" s="4" t="s">
        <v>445</v>
      </c>
      <c r="H39" s="4" t="s">
        <v>410</v>
      </c>
      <c r="I39" s="4"/>
      <c r="J39" s="17">
        <f>(110*1.125)/30</f>
        <v>4.125</v>
      </c>
      <c r="K39" s="4" t="s">
        <v>26</v>
      </c>
      <c r="L39" s="4" t="s">
        <v>451</v>
      </c>
      <c r="M39" s="4" t="s">
        <v>262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4" t="s">
        <v>951</v>
      </c>
      <c r="B40" s="4">
        <v>37</v>
      </c>
      <c r="C40" s="4" t="s">
        <v>448</v>
      </c>
      <c r="D40" s="4">
        <v>83427848</v>
      </c>
      <c r="E40" s="4" t="s">
        <v>449</v>
      </c>
      <c r="F40" s="4" t="s">
        <v>457</v>
      </c>
      <c r="G40" s="4" t="s">
        <v>445</v>
      </c>
      <c r="H40" s="4" t="s">
        <v>189</v>
      </c>
      <c r="I40" s="4"/>
      <c r="J40" s="17">
        <f t="shared" ref="J40:J41" si="0">(125*1.125)/30</f>
        <v>4.6875</v>
      </c>
      <c r="K40" s="4" t="s">
        <v>26</v>
      </c>
      <c r="L40" s="4" t="s">
        <v>451</v>
      </c>
      <c r="M40" s="4" t="s">
        <v>262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4" t="s">
        <v>952</v>
      </c>
      <c r="B41" s="4">
        <v>38</v>
      </c>
      <c r="C41" s="4" t="s">
        <v>448</v>
      </c>
      <c r="D41" s="4">
        <v>83427848</v>
      </c>
      <c r="E41" s="4" t="s">
        <v>449</v>
      </c>
      <c r="F41" s="4" t="s">
        <v>458</v>
      </c>
      <c r="G41" s="4" t="s">
        <v>445</v>
      </c>
      <c r="H41" s="4" t="s">
        <v>189</v>
      </c>
      <c r="I41" s="4"/>
      <c r="J41" s="17">
        <f t="shared" si="0"/>
        <v>4.6875</v>
      </c>
      <c r="K41" s="4" t="s">
        <v>26</v>
      </c>
      <c r="L41" s="4" t="s">
        <v>451</v>
      </c>
      <c r="M41" s="4" t="s">
        <v>262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4" t="s">
        <v>953</v>
      </c>
      <c r="B42" s="4">
        <v>39</v>
      </c>
      <c r="C42" s="4" t="s">
        <v>448</v>
      </c>
      <c r="D42" s="4">
        <v>83427848</v>
      </c>
      <c r="E42" s="4" t="s">
        <v>449</v>
      </c>
      <c r="F42" s="4" t="s">
        <v>459</v>
      </c>
      <c r="G42" s="4" t="s">
        <v>445</v>
      </c>
      <c r="H42" s="4" t="s">
        <v>189</v>
      </c>
      <c r="I42" s="4"/>
      <c r="J42" s="17">
        <f t="shared" ref="J42:J43" si="1">(110*1.125)/30</f>
        <v>4.125</v>
      </c>
      <c r="K42" s="4" t="s">
        <v>26</v>
      </c>
      <c r="L42" s="4" t="s">
        <v>451</v>
      </c>
      <c r="M42" s="4" t="s">
        <v>262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4" t="s">
        <v>954</v>
      </c>
      <c r="B43" s="4">
        <v>40</v>
      </c>
      <c r="C43" s="4" t="s">
        <v>448</v>
      </c>
      <c r="D43" s="4">
        <v>83427848</v>
      </c>
      <c r="E43" s="4" t="s">
        <v>449</v>
      </c>
      <c r="F43" s="4" t="s">
        <v>460</v>
      </c>
      <c r="G43" s="4" t="s">
        <v>445</v>
      </c>
      <c r="H43" s="4" t="s">
        <v>189</v>
      </c>
      <c r="I43" s="4"/>
      <c r="J43" s="17">
        <f t="shared" si="1"/>
        <v>4.125</v>
      </c>
      <c r="K43" s="4" t="s">
        <v>26</v>
      </c>
      <c r="L43" s="4" t="s">
        <v>451</v>
      </c>
      <c r="M43" s="4" t="s">
        <v>262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4" t="s">
        <v>955</v>
      </c>
      <c r="B44" s="4">
        <v>41</v>
      </c>
      <c r="C44" s="4" t="s">
        <v>448</v>
      </c>
      <c r="D44" s="4">
        <v>83427848</v>
      </c>
      <c r="E44" s="4" t="s">
        <v>449</v>
      </c>
      <c r="F44" s="4" t="s">
        <v>458</v>
      </c>
      <c r="G44" s="4" t="s">
        <v>445</v>
      </c>
      <c r="H44" s="4" t="s">
        <v>189</v>
      </c>
      <c r="I44" s="4"/>
      <c r="J44" s="17">
        <f t="shared" ref="J44:J45" si="2">(125*1.125)/30</f>
        <v>4.6875</v>
      </c>
      <c r="K44" s="4" t="s">
        <v>26</v>
      </c>
      <c r="L44" s="4" t="s">
        <v>451</v>
      </c>
      <c r="M44" s="4" t="s">
        <v>262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4" t="s">
        <v>956</v>
      </c>
      <c r="B45" s="4">
        <v>42</v>
      </c>
      <c r="C45" s="4" t="s">
        <v>448</v>
      </c>
      <c r="D45" s="4">
        <v>83427848</v>
      </c>
      <c r="E45" s="4" t="s">
        <v>449</v>
      </c>
      <c r="F45" s="4" t="s">
        <v>461</v>
      </c>
      <c r="G45" s="4" t="s">
        <v>445</v>
      </c>
      <c r="H45" s="4" t="s">
        <v>462</v>
      </c>
      <c r="I45" s="4"/>
      <c r="J45" s="17">
        <f t="shared" si="2"/>
        <v>4.6875</v>
      </c>
      <c r="K45" s="4" t="s">
        <v>26</v>
      </c>
      <c r="L45" s="4" t="s">
        <v>451</v>
      </c>
      <c r="M45" s="4" t="s">
        <v>262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4" t="s">
        <v>957</v>
      </c>
      <c r="B46" s="4">
        <v>43</v>
      </c>
      <c r="C46" s="4" t="s">
        <v>448</v>
      </c>
      <c r="D46" s="4">
        <v>83427848</v>
      </c>
      <c r="E46" s="4" t="s">
        <v>449</v>
      </c>
      <c r="F46" s="4" t="s">
        <v>463</v>
      </c>
      <c r="G46" s="4" t="s">
        <v>445</v>
      </c>
      <c r="H46" s="4" t="s">
        <v>197</v>
      </c>
      <c r="I46" s="4"/>
      <c r="J46" s="17">
        <f>(190*1.125)/30</f>
        <v>7.125</v>
      </c>
      <c r="K46" s="4" t="s">
        <v>26</v>
      </c>
      <c r="L46" s="4" t="s">
        <v>451</v>
      </c>
      <c r="M46" s="4" t="s">
        <v>262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4" t="s">
        <v>958</v>
      </c>
      <c r="B47" s="4">
        <v>44</v>
      </c>
      <c r="C47" s="4" t="s">
        <v>448</v>
      </c>
      <c r="D47" s="4">
        <v>83427848</v>
      </c>
      <c r="E47" s="4" t="s">
        <v>449</v>
      </c>
      <c r="F47" s="4" t="s">
        <v>464</v>
      </c>
      <c r="G47" s="4" t="s">
        <v>445</v>
      </c>
      <c r="H47" s="4" t="s">
        <v>465</v>
      </c>
      <c r="I47" s="4"/>
      <c r="J47" s="17">
        <f>(120*1.125)/30</f>
        <v>4.5</v>
      </c>
      <c r="K47" s="4" t="s">
        <v>26</v>
      </c>
      <c r="L47" s="4" t="s">
        <v>451</v>
      </c>
      <c r="M47" s="4" t="s">
        <v>262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4" t="s">
        <v>959</v>
      </c>
      <c r="B48" s="4">
        <v>45</v>
      </c>
      <c r="C48" s="4" t="s">
        <v>448</v>
      </c>
      <c r="D48" s="4">
        <v>83427848</v>
      </c>
      <c r="E48" s="4" t="s">
        <v>449</v>
      </c>
      <c r="F48" s="4" t="s">
        <v>466</v>
      </c>
      <c r="G48" s="4" t="s">
        <v>445</v>
      </c>
      <c r="H48" s="4" t="s">
        <v>467</v>
      </c>
      <c r="I48" s="4"/>
      <c r="J48" s="17">
        <f>(125*1.125)/30</f>
        <v>4.6875</v>
      </c>
      <c r="K48" s="4" t="s">
        <v>26</v>
      </c>
      <c r="L48" s="4" t="s">
        <v>451</v>
      </c>
      <c r="M48" s="4" t="s">
        <v>262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4" t="s">
        <v>960</v>
      </c>
      <c r="B49" s="4">
        <v>46</v>
      </c>
      <c r="C49" s="4" t="s">
        <v>448</v>
      </c>
      <c r="D49" s="4">
        <v>83427848</v>
      </c>
      <c r="E49" s="4" t="s">
        <v>449</v>
      </c>
      <c r="F49" s="4" t="s">
        <v>468</v>
      </c>
      <c r="G49" s="4" t="s">
        <v>445</v>
      </c>
      <c r="H49" s="4" t="s">
        <v>467</v>
      </c>
      <c r="I49" s="4"/>
      <c r="J49" s="17">
        <f t="shared" ref="J49:J50" si="3">(110*1.125)/30</f>
        <v>4.125</v>
      </c>
      <c r="K49" s="4" t="s">
        <v>26</v>
      </c>
      <c r="L49" s="4" t="s">
        <v>451</v>
      </c>
      <c r="M49" s="4" t="s">
        <v>262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4" t="s">
        <v>961</v>
      </c>
      <c r="B50" s="4">
        <v>47</v>
      </c>
      <c r="C50" s="4" t="s">
        <v>448</v>
      </c>
      <c r="D50" s="4">
        <v>83427848</v>
      </c>
      <c r="E50" s="4" t="s">
        <v>449</v>
      </c>
      <c r="F50" s="4" t="s">
        <v>469</v>
      </c>
      <c r="G50" s="4" t="s">
        <v>445</v>
      </c>
      <c r="H50" s="4" t="s">
        <v>467</v>
      </c>
      <c r="I50" s="4"/>
      <c r="J50" s="17">
        <f t="shared" si="3"/>
        <v>4.125</v>
      </c>
      <c r="K50" s="4" t="s">
        <v>26</v>
      </c>
      <c r="L50" s="4" t="s">
        <v>451</v>
      </c>
      <c r="M50" s="4" t="s">
        <v>262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4" t="s">
        <v>962</v>
      </c>
      <c r="B51" s="4">
        <v>48</v>
      </c>
      <c r="C51" s="4" t="s">
        <v>448</v>
      </c>
      <c r="D51" s="4">
        <v>83427848</v>
      </c>
      <c r="E51" s="4" t="s">
        <v>449</v>
      </c>
      <c r="F51" s="4" t="s">
        <v>470</v>
      </c>
      <c r="G51" s="4" t="s">
        <v>445</v>
      </c>
      <c r="H51" s="4" t="s">
        <v>467</v>
      </c>
      <c r="I51" s="4"/>
      <c r="J51" s="17">
        <f t="shared" ref="J51:J52" si="4">(125*1.125)/30</f>
        <v>4.6875</v>
      </c>
      <c r="K51" s="4" t="s">
        <v>26</v>
      </c>
      <c r="L51" s="4" t="s">
        <v>451</v>
      </c>
      <c r="M51" s="4" t="s">
        <v>262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4" t="s">
        <v>963</v>
      </c>
      <c r="B52" s="4">
        <v>49</v>
      </c>
      <c r="C52" s="4" t="s">
        <v>448</v>
      </c>
      <c r="D52" s="4">
        <v>83427848</v>
      </c>
      <c r="E52" s="4" t="s">
        <v>449</v>
      </c>
      <c r="F52" s="4" t="s">
        <v>471</v>
      </c>
      <c r="G52" s="4" t="s">
        <v>445</v>
      </c>
      <c r="H52" s="4" t="s">
        <v>467</v>
      </c>
      <c r="I52" s="4"/>
      <c r="J52" s="17">
        <f t="shared" si="4"/>
        <v>4.6875</v>
      </c>
      <c r="K52" s="4" t="s">
        <v>26</v>
      </c>
      <c r="L52" s="4" t="s">
        <v>451</v>
      </c>
      <c r="M52" s="4" t="s">
        <v>262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4" t="s">
        <v>964</v>
      </c>
      <c r="B53" s="4">
        <v>50</v>
      </c>
      <c r="C53" s="4" t="s">
        <v>448</v>
      </c>
      <c r="D53" s="4">
        <v>83427848</v>
      </c>
      <c r="E53" s="4" t="s">
        <v>449</v>
      </c>
      <c r="F53" s="4" t="s">
        <v>472</v>
      </c>
      <c r="G53" s="4" t="s">
        <v>445</v>
      </c>
      <c r="H53" s="4" t="s">
        <v>467</v>
      </c>
      <c r="I53" s="4"/>
      <c r="J53" s="17">
        <f t="shared" ref="J53:J55" si="5">(110*1.125)/30</f>
        <v>4.125</v>
      </c>
      <c r="K53" s="4" t="s">
        <v>26</v>
      </c>
      <c r="L53" s="4" t="s">
        <v>451</v>
      </c>
      <c r="M53" s="4" t="s">
        <v>262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4" t="s">
        <v>965</v>
      </c>
      <c r="B54" s="4">
        <v>51</v>
      </c>
      <c r="C54" s="4" t="s">
        <v>448</v>
      </c>
      <c r="D54" s="4">
        <v>83427848</v>
      </c>
      <c r="E54" s="4" t="s">
        <v>449</v>
      </c>
      <c r="F54" s="4" t="s">
        <v>473</v>
      </c>
      <c r="G54" s="4" t="s">
        <v>445</v>
      </c>
      <c r="H54" s="4" t="s">
        <v>467</v>
      </c>
      <c r="I54" s="4"/>
      <c r="J54" s="17">
        <f t="shared" si="5"/>
        <v>4.125</v>
      </c>
      <c r="K54" s="4" t="s">
        <v>26</v>
      </c>
      <c r="L54" s="4" t="s">
        <v>451</v>
      </c>
      <c r="M54" s="4" t="s">
        <v>262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4" t="s">
        <v>966</v>
      </c>
      <c r="B55" s="4">
        <v>52</v>
      </c>
      <c r="C55" s="4" t="s">
        <v>448</v>
      </c>
      <c r="D55" s="4">
        <v>83427848</v>
      </c>
      <c r="E55" s="4" t="s">
        <v>449</v>
      </c>
      <c r="F55" s="4" t="s">
        <v>474</v>
      </c>
      <c r="G55" s="4" t="s">
        <v>445</v>
      </c>
      <c r="H55" s="4" t="s">
        <v>475</v>
      </c>
      <c r="I55" s="4"/>
      <c r="J55" s="17">
        <f t="shared" si="5"/>
        <v>4.125</v>
      </c>
      <c r="K55" s="4" t="s">
        <v>26</v>
      </c>
      <c r="L55" s="4" t="s">
        <v>451</v>
      </c>
      <c r="M55" s="4" t="s">
        <v>262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4" t="s">
        <v>967</v>
      </c>
      <c r="B56" s="4">
        <v>53</v>
      </c>
      <c r="C56" s="4" t="s">
        <v>448</v>
      </c>
      <c r="D56" s="4">
        <v>83427848</v>
      </c>
      <c r="E56" s="4" t="s">
        <v>449</v>
      </c>
      <c r="F56" s="4" t="s">
        <v>476</v>
      </c>
      <c r="G56" s="4" t="s">
        <v>445</v>
      </c>
      <c r="H56" s="4" t="s">
        <v>475</v>
      </c>
      <c r="I56" s="4"/>
      <c r="J56" s="17">
        <f>(125*1.125)/30</f>
        <v>4.6875</v>
      </c>
      <c r="K56" s="4" t="s">
        <v>26</v>
      </c>
      <c r="L56" s="4" t="s">
        <v>451</v>
      </c>
      <c r="M56" s="4" t="s">
        <v>262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4" t="s">
        <v>968</v>
      </c>
      <c r="B57" s="4">
        <v>54</v>
      </c>
      <c r="C57" s="4" t="s">
        <v>448</v>
      </c>
      <c r="D57" s="4">
        <v>83427848</v>
      </c>
      <c r="E57" s="4" t="s">
        <v>449</v>
      </c>
      <c r="F57" s="4" t="s">
        <v>477</v>
      </c>
      <c r="G57" s="4" t="s">
        <v>445</v>
      </c>
      <c r="H57" s="4" t="s">
        <v>335</v>
      </c>
      <c r="I57" s="4"/>
      <c r="J57" s="17">
        <f>(110*1.125)/30</f>
        <v>4.125</v>
      </c>
      <c r="K57" s="4" t="s">
        <v>26</v>
      </c>
      <c r="L57" s="4" t="s">
        <v>451</v>
      </c>
      <c r="M57" s="4" t="s">
        <v>262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4" t="s">
        <v>969</v>
      </c>
      <c r="B58" s="4">
        <v>55</v>
      </c>
      <c r="C58" s="4" t="s">
        <v>448</v>
      </c>
      <c r="D58" s="4">
        <v>83427848</v>
      </c>
      <c r="E58" s="4" t="s">
        <v>449</v>
      </c>
      <c r="F58" s="4" t="s">
        <v>478</v>
      </c>
      <c r="G58" s="4" t="s">
        <v>445</v>
      </c>
      <c r="H58" s="4" t="s">
        <v>413</v>
      </c>
      <c r="I58" s="4"/>
      <c r="J58" s="17">
        <f t="shared" ref="J58:J59" si="6">(125*1.125)/30</f>
        <v>4.6875</v>
      </c>
      <c r="K58" s="4" t="s">
        <v>26</v>
      </c>
      <c r="L58" s="4" t="s">
        <v>451</v>
      </c>
      <c r="M58" s="4" t="s">
        <v>262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4" t="s">
        <v>970</v>
      </c>
      <c r="B59" s="4">
        <v>56</v>
      </c>
      <c r="C59" s="4" t="s">
        <v>448</v>
      </c>
      <c r="D59" s="4">
        <v>83427848</v>
      </c>
      <c r="E59" s="4" t="s">
        <v>449</v>
      </c>
      <c r="F59" s="4" t="s">
        <v>479</v>
      </c>
      <c r="G59" s="4" t="s">
        <v>445</v>
      </c>
      <c r="H59" s="4" t="s">
        <v>413</v>
      </c>
      <c r="I59" s="4"/>
      <c r="J59" s="17">
        <f t="shared" si="6"/>
        <v>4.6875</v>
      </c>
      <c r="K59" s="4" t="s">
        <v>26</v>
      </c>
      <c r="L59" s="4" t="s">
        <v>451</v>
      </c>
      <c r="M59" s="4" t="s">
        <v>262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4" t="s">
        <v>971</v>
      </c>
      <c r="B60" s="4">
        <v>57</v>
      </c>
      <c r="C60" s="4" t="s">
        <v>448</v>
      </c>
      <c r="D60" s="4">
        <v>83427848</v>
      </c>
      <c r="E60" s="4" t="s">
        <v>449</v>
      </c>
      <c r="F60" s="4" t="s">
        <v>480</v>
      </c>
      <c r="G60" s="4" t="s">
        <v>445</v>
      </c>
      <c r="H60" s="4" t="s">
        <v>404</v>
      </c>
      <c r="I60" s="4"/>
      <c r="J60" s="17">
        <f>(120*1.125)/30</f>
        <v>4.5</v>
      </c>
      <c r="K60" s="4" t="s">
        <v>26</v>
      </c>
      <c r="L60" s="4" t="s">
        <v>451</v>
      </c>
      <c r="M60" s="4" t="s">
        <v>262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4" t="s">
        <v>972</v>
      </c>
      <c r="B61" s="4">
        <v>58</v>
      </c>
      <c r="C61" s="4" t="s">
        <v>448</v>
      </c>
      <c r="D61" s="4">
        <v>83427848</v>
      </c>
      <c r="E61" s="4" t="s">
        <v>449</v>
      </c>
      <c r="F61" s="4" t="s">
        <v>481</v>
      </c>
      <c r="G61" s="4" t="s">
        <v>445</v>
      </c>
      <c r="H61" s="4" t="s">
        <v>404</v>
      </c>
      <c r="I61" s="4"/>
      <c r="J61" s="17">
        <f>(110*1.125)/30</f>
        <v>4.125</v>
      </c>
      <c r="K61" s="4" t="s">
        <v>26</v>
      </c>
      <c r="L61" s="4" t="s">
        <v>451</v>
      </c>
      <c r="M61" s="4" t="s">
        <v>262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4" t="s">
        <v>973</v>
      </c>
      <c r="B62" s="4">
        <v>59</v>
      </c>
      <c r="C62" s="4" t="s">
        <v>448</v>
      </c>
      <c r="D62" s="4">
        <v>83427848</v>
      </c>
      <c r="E62" s="4" t="s">
        <v>449</v>
      </c>
      <c r="F62" s="4" t="s">
        <v>482</v>
      </c>
      <c r="G62" s="4" t="s">
        <v>445</v>
      </c>
      <c r="H62" s="4" t="s">
        <v>404</v>
      </c>
      <c r="I62" s="4"/>
      <c r="J62" s="17">
        <f t="shared" ref="J62:J63" si="7">(120*1.125)/30</f>
        <v>4.5</v>
      </c>
      <c r="K62" s="4" t="s">
        <v>26</v>
      </c>
      <c r="L62" s="4" t="s">
        <v>451</v>
      </c>
      <c r="M62" s="4" t="s">
        <v>262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4" t="s">
        <v>974</v>
      </c>
      <c r="B63" s="4">
        <v>60</v>
      </c>
      <c r="C63" s="4" t="s">
        <v>448</v>
      </c>
      <c r="D63" s="4">
        <v>83427848</v>
      </c>
      <c r="E63" s="4" t="s">
        <v>449</v>
      </c>
      <c r="F63" s="4" t="s">
        <v>483</v>
      </c>
      <c r="G63" s="4" t="s">
        <v>445</v>
      </c>
      <c r="H63" s="4" t="s">
        <v>404</v>
      </c>
      <c r="I63" s="4"/>
      <c r="J63" s="17">
        <f t="shared" si="7"/>
        <v>4.5</v>
      </c>
      <c r="K63" s="4" t="s">
        <v>26</v>
      </c>
      <c r="L63" s="4" t="s">
        <v>451</v>
      </c>
      <c r="M63" s="4" t="s">
        <v>262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4" t="s">
        <v>975</v>
      </c>
      <c r="B64" s="4">
        <v>61</v>
      </c>
      <c r="C64" s="4" t="s">
        <v>448</v>
      </c>
      <c r="D64" s="4">
        <v>83427848</v>
      </c>
      <c r="E64" s="4" t="s">
        <v>449</v>
      </c>
      <c r="F64" s="4" t="s">
        <v>484</v>
      </c>
      <c r="G64" s="4" t="s">
        <v>485</v>
      </c>
      <c r="H64" s="4" t="s">
        <v>486</v>
      </c>
      <c r="I64" s="4"/>
      <c r="J64" s="17">
        <f>(125*1.125)/30</f>
        <v>4.6875</v>
      </c>
      <c r="K64" s="4" t="s">
        <v>26</v>
      </c>
      <c r="L64" s="4" t="s">
        <v>451</v>
      </c>
      <c r="M64" s="4" t="s">
        <v>262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4" t="s">
        <v>976</v>
      </c>
      <c r="B65" s="4">
        <v>62</v>
      </c>
      <c r="C65" s="4" t="s">
        <v>448</v>
      </c>
      <c r="D65" s="4">
        <v>83427848</v>
      </c>
      <c r="E65" s="4" t="s">
        <v>449</v>
      </c>
      <c r="F65" s="4" t="s">
        <v>487</v>
      </c>
      <c r="G65" s="4" t="s">
        <v>485</v>
      </c>
      <c r="H65" s="4" t="s">
        <v>486</v>
      </c>
      <c r="I65" s="4"/>
      <c r="J65" s="17">
        <f t="shared" ref="J65:J66" si="8">(110*1.125)/30</f>
        <v>4.125</v>
      </c>
      <c r="K65" s="4" t="s">
        <v>26</v>
      </c>
      <c r="L65" s="4" t="s">
        <v>451</v>
      </c>
      <c r="M65" s="4" t="s">
        <v>262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4" t="s">
        <v>977</v>
      </c>
      <c r="B66" s="4">
        <v>63</v>
      </c>
      <c r="C66" s="4" t="s">
        <v>448</v>
      </c>
      <c r="D66" s="4">
        <v>83427848</v>
      </c>
      <c r="E66" s="4" t="s">
        <v>449</v>
      </c>
      <c r="F66" s="4" t="s">
        <v>488</v>
      </c>
      <c r="G66" s="4" t="s">
        <v>485</v>
      </c>
      <c r="H66" s="4" t="s">
        <v>486</v>
      </c>
      <c r="I66" s="4"/>
      <c r="J66" s="17">
        <f t="shared" si="8"/>
        <v>4.125</v>
      </c>
      <c r="K66" s="4" t="s">
        <v>26</v>
      </c>
      <c r="L66" s="4" t="s">
        <v>451</v>
      </c>
      <c r="M66" s="4" t="s">
        <v>262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4" t="s">
        <v>978</v>
      </c>
      <c r="B67" s="4">
        <v>64</v>
      </c>
      <c r="C67" s="4" t="s">
        <v>448</v>
      </c>
      <c r="D67" s="4">
        <v>83427848</v>
      </c>
      <c r="E67" s="4" t="s">
        <v>449</v>
      </c>
      <c r="F67" s="4" t="s">
        <v>489</v>
      </c>
      <c r="G67" s="4" t="s">
        <v>485</v>
      </c>
      <c r="H67" s="4" t="s">
        <v>486</v>
      </c>
      <c r="I67" s="4"/>
      <c r="J67" s="17">
        <f t="shared" ref="J67:J68" si="9">(125*1.125)/30</f>
        <v>4.6875</v>
      </c>
      <c r="K67" s="4" t="s">
        <v>26</v>
      </c>
      <c r="L67" s="4" t="s">
        <v>451</v>
      </c>
      <c r="M67" s="4" t="s">
        <v>262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4" t="s">
        <v>979</v>
      </c>
      <c r="B68" s="4">
        <v>65</v>
      </c>
      <c r="C68" s="4" t="s">
        <v>448</v>
      </c>
      <c r="D68" s="4">
        <v>83427848</v>
      </c>
      <c r="E68" s="4" t="s">
        <v>449</v>
      </c>
      <c r="F68" s="4" t="s">
        <v>490</v>
      </c>
      <c r="G68" s="4" t="s">
        <v>485</v>
      </c>
      <c r="H68" s="4" t="s">
        <v>491</v>
      </c>
      <c r="I68" s="4"/>
      <c r="J68" s="17">
        <f t="shared" si="9"/>
        <v>4.6875</v>
      </c>
      <c r="K68" s="4" t="s">
        <v>26</v>
      </c>
      <c r="L68" s="4" t="s">
        <v>451</v>
      </c>
      <c r="M68" s="4" t="s">
        <v>262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4" t="s">
        <v>980</v>
      </c>
      <c r="B69" s="4">
        <v>66</v>
      </c>
      <c r="C69" s="4" t="s">
        <v>448</v>
      </c>
      <c r="D69" s="4">
        <v>83427848</v>
      </c>
      <c r="E69" s="4" t="s">
        <v>449</v>
      </c>
      <c r="F69" s="4" t="s">
        <v>492</v>
      </c>
      <c r="G69" s="4" t="s">
        <v>485</v>
      </c>
      <c r="H69" s="4" t="s">
        <v>491</v>
      </c>
      <c r="I69" s="4"/>
      <c r="J69" s="17">
        <f>(150*1.125)/30</f>
        <v>5.625</v>
      </c>
      <c r="K69" s="4" t="s">
        <v>26</v>
      </c>
      <c r="L69" s="4" t="s">
        <v>451</v>
      </c>
      <c r="M69" s="4" t="s">
        <v>262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4" t="s">
        <v>981</v>
      </c>
      <c r="B70" s="4">
        <v>67</v>
      </c>
      <c r="C70" s="4" t="s">
        <v>448</v>
      </c>
      <c r="D70" s="4">
        <v>83427848</v>
      </c>
      <c r="E70" s="4" t="s">
        <v>449</v>
      </c>
      <c r="F70" s="4" t="s">
        <v>493</v>
      </c>
      <c r="G70" s="4" t="s">
        <v>485</v>
      </c>
      <c r="H70" s="4" t="s">
        <v>491</v>
      </c>
      <c r="I70" s="4"/>
      <c r="J70" s="17">
        <f t="shared" ref="J70:J71" si="10">(110*1.125)/30</f>
        <v>4.125</v>
      </c>
      <c r="K70" s="4" t="s">
        <v>26</v>
      </c>
      <c r="L70" s="4" t="s">
        <v>451</v>
      </c>
      <c r="M70" s="4" t="s">
        <v>262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4" t="s">
        <v>982</v>
      </c>
      <c r="B71" s="4">
        <v>68</v>
      </c>
      <c r="C71" s="4" t="s">
        <v>448</v>
      </c>
      <c r="D71" s="4">
        <v>83427848</v>
      </c>
      <c r="E71" s="4" t="s">
        <v>449</v>
      </c>
      <c r="F71" s="4" t="s">
        <v>494</v>
      </c>
      <c r="G71" s="4" t="s">
        <v>485</v>
      </c>
      <c r="H71" s="4" t="s">
        <v>495</v>
      </c>
      <c r="I71" s="4"/>
      <c r="J71" s="17">
        <f t="shared" si="10"/>
        <v>4.125</v>
      </c>
      <c r="K71" s="4" t="s">
        <v>26</v>
      </c>
      <c r="L71" s="4" t="s">
        <v>451</v>
      </c>
      <c r="M71" s="4" t="s">
        <v>262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4" t="s">
        <v>983</v>
      </c>
      <c r="B72" s="4">
        <v>69</v>
      </c>
      <c r="C72" s="4" t="s">
        <v>448</v>
      </c>
      <c r="D72" s="4">
        <v>83427848</v>
      </c>
      <c r="E72" s="4" t="s">
        <v>449</v>
      </c>
      <c r="F72" s="4" t="s">
        <v>496</v>
      </c>
      <c r="G72" s="4" t="s">
        <v>485</v>
      </c>
      <c r="H72" s="4" t="s">
        <v>495</v>
      </c>
      <c r="I72" s="4"/>
      <c r="J72" s="17">
        <f>(125*1.125)/30</f>
        <v>4.6875</v>
      </c>
      <c r="K72" s="4" t="s">
        <v>26</v>
      </c>
      <c r="L72" s="4" t="s">
        <v>451</v>
      </c>
      <c r="M72" s="4" t="s">
        <v>262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4" t="s">
        <v>984</v>
      </c>
      <c r="B73" s="4">
        <v>70</v>
      </c>
      <c r="C73" s="4" t="s">
        <v>448</v>
      </c>
      <c r="D73" s="4">
        <v>83427848</v>
      </c>
      <c r="E73" s="4" t="s">
        <v>449</v>
      </c>
      <c r="F73" s="4" t="s">
        <v>497</v>
      </c>
      <c r="G73" s="4" t="s">
        <v>498</v>
      </c>
      <c r="H73" s="4" t="s">
        <v>495</v>
      </c>
      <c r="I73" s="4"/>
      <c r="J73" s="17">
        <f>(110*1.125)/30</f>
        <v>4.125</v>
      </c>
      <c r="K73" s="4" t="s">
        <v>26</v>
      </c>
      <c r="L73" s="4" t="s">
        <v>451</v>
      </c>
      <c r="M73" s="4" t="s">
        <v>262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4" t="s">
        <v>985</v>
      </c>
      <c r="B74" s="4">
        <v>71</v>
      </c>
      <c r="C74" s="4" t="s">
        <v>448</v>
      </c>
      <c r="D74" s="4">
        <v>83427848</v>
      </c>
      <c r="E74" s="4" t="s">
        <v>449</v>
      </c>
      <c r="F74" s="4" t="s">
        <v>499</v>
      </c>
      <c r="G74" s="4" t="s">
        <v>485</v>
      </c>
      <c r="H74" s="4" t="s">
        <v>407</v>
      </c>
      <c r="I74" s="4"/>
      <c r="J74" s="17">
        <f t="shared" ref="J74:J76" si="11">(120*1.125)/30</f>
        <v>4.5</v>
      </c>
      <c r="K74" s="4" t="s">
        <v>26</v>
      </c>
      <c r="L74" s="4" t="s">
        <v>451</v>
      </c>
      <c r="M74" s="4" t="s">
        <v>262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4" t="s">
        <v>986</v>
      </c>
      <c r="B75" s="4">
        <v>72</v>
      </c>
      <c r="C75" s="4" t="s">
        <v>448</v>
      </c>
      <c r="D75" s="4">
        <v>83427848</v>
      </c>
      <c r="E75" s="4" t="s">
        <v>449</v>
      </c>
      <c r="F75" s="4" t="s">
        <v>500</v>
      </c>
      <c r="G75" s="4" t="s">
        <v>485</v>
      </c>
      <c r="H75" s="4" t="s">
        <v>407</v>
      </c>
      <c r="I75" s="4"/>
      <c r="J75" s="17">
        <f t="shared" si="11"/>
        <v>4.5</v>
      </c>
      <c r="K75" s="4" t="s">
        <v>26</v>
      </c>
      <c r="L75" s="4" t="s">
        <v>451</v>
      </c>
      <c r="M75" s="4" t="s">
        <v>262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4" t="s">
        <v>987</v>
      </c>
      <c r="B76" s="4">
        <v>73</v>
      </c>
      <c r="C76" s="4" t="s">
        <v>448</v>
      </c>
      <c r="D76" s="4">
        <v>83427848</v>
      </c>
      <c r="E76" s="4" t="s">
        <v>449</v>
      </c>
      <c r="F76" s="4" t="s">
        <v>501</v>
      </c>
      <c r="G76" s="4" t="s">
        <v>485</v>
      </c>
      <c r="H76" s="4" t="s">
        <v>407</v>
      </c>
      <c r="I76" s="4"/>
      <c r="J76" s="17">
        <f t="shared" si="11"/>
        <v>4.5</v>
      </c>
      <c r="K76" s="4" t="s">
        <v>26</v>
      </c>
      <c r="L76" s="4" t="s">
        <v>451</v>
      </c>
      <c r="M76" s="4" t="s">
        <v>262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4" t="s">
        <v>988</v>
      </c>
      <c r="B77" s="4">
        <v>74</v>
      </c>
      <c r="C77" s="4" t="s">
        <v>448</v>
      </c>
      <c r="D77" s="4">
        <v>83427848</v>
      </c>
      <c r="E77" s="4" t="s">
        <v>449</v>
      </c>
      <c r="F77" s="4" t="s">
        <v>502</v>
      </c>
      <c r="G77" s="4" t="s">
        <v>485</v>
      </c>
      <c r="H77" s="4" t="s">
        <v>407</v>
      </c>
      <c r="I77" s="4"/>
      <c r="J77" s="17">
        <f>(110*1.125)/30</f>
        <v>4.125</v>
      </c>
      <c r="K77" s="4" t="s">
        <v>26</v>
      </c>
      <c r="L77" s="4" t="s">
        <v>451</v>
      </c>
      <c r="M77" s="4" t="s">
        <v>262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4" t="s">
        <v>989</v>
      </c>
      <c r="B78" s="4">
        <v>75</v>
      </c>
      <c r="C78" s="4" t="s">
        <v>448</v>
      </c>
      <c r="D78" s="4">
        <v>83427848</v>
      </c>
      <c r="E78" s="4" t="s">
        <v>449</v>
      </c>
      <c r="F78" s="4" t="s">
        <v>503</v>
      </c>
      <c r="G78" s="4" t="s">
        <v>485</v>
      </c>
      <c r="H78" s="4" t="s">
        <v>407</v>
      </c>
      <c r="I78" s="4"/>
      <c r="J78" s="17">
        <f>(120*1.125)/30</f>
        <v>4.5</v>
      </c>
      <c r="K78" s="4" t="s">
        <v>26</v>
      </c>
      <c r="L78" s="4" t="s">
        <v>451</v>
      </c>
      <c r="M78" s="4" t="s">
        <v>262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4" t="s">
        <v>990</v>
      </c>
      <c r="B79" s="4">
        <v>76</v>
      </c>
      <c r="C79" s="4" t="s">
        <v>448</v>
      </c>
      <c r="D79" s="4">
        <v>83427848</v>
      </c>
      <c r="E79" s="4" t="s">
        <v>449</v>
      </c>
      <c r="F79" s="4" t="s">
        <v>504</v>
      </c>
      <c r="G79" s="4" t="s">
        <v>485</v>
      </c>
      <c r="H79" s="4" t="s">
        <v>407</v>
      </c>
      <c r="I79" s="4"/>
      <c r="J79" s="17">
        <f t="shared" ref="J79:J81" si="12">(110*1.125)/30</f>
        <v>4.125</v>
      </c>
      <c r="K79" s="4" t="s">
        <v>26</v>
      </c>
      <c r="L79" s="4" t="s">
        <v>451</v>
      </c>
      <c r="M79" s="4" t="s">
        <v>262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4" t="s">
        <v>991</v>
      </c>
      <c r="B80" s="4">
        <v>77</v>
      </c>
      <c r="C80" s="4" t="s">
        <v>448</v>
      </c>
      <c r="D80" s="4">
        <v>83427848</v>
      </c>
      <c r="E80" s="4" t="s">
        <v>449</v>
      </c>
      <c r="F80" s="4" t="s">
        <v>505</v>
      </c>
      <c r="G80" s="4" t="s">
        <v>498</v>
      </c>
      <c r="H80" s="4" t="s">
        <v>407</v>
      </c>
      <c r="I80" s="4"/>
      <c r="J80" s="17">
        <f t="shared" si="12"/>
        <v>4.125</v>
      </c>
      <c r="K80" s="4" t="s">
        <v>26</v>
      </c>
      <c r="L80" s="4" t="s">
        <v>451</v>
      </c>
      <c r="M80" s="4" t="s">
        <v>262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4" t="s">
        <v>992</v>
      </c>
      <c r="B81" s="4">
        <v>78</v>
      </c>
      <c r="C81" s="4" t="s">
        <v>448</v>
      </c>
      <c r="D81" s="4">
        <v>83427848</v>
      </c>
      <c r="E81" s="4" t="s">
        <v>449</v>
      </c>
      <c r="F81" s="4" t="s">
        <v>506</v>
      </c>
      <c r="G81" s="4" t="s">
        <v>485</v>
      </c>
      <c r="H81" s="4" t="s">
        <v>407</v>
      </c>
      <c r="I81" s="4"/>
      <c r="J81" s="17">
        <f t="shared" si="12"/>
        <v>4.125</v>
      </c>
      <c r="K81" s="4" t="s">
        <v>26</v>
      </c>
      <c r="L81" s="4" t="s">
        <v>451</v>
      </c>
      <c r="M81" s="4" t="s">
        <v>262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4" t="s">
        <v>993</v>
      </c>
      <c r="B82" s="4">
        <v>79</v>
      </c>
      <c r="C82" s="4" t="s">
        <v>448</v>
      </c>
      <c r="D82" s="4">
        <v>83427848</v>
      </c>
      <c r="E82" s="4" t="s">
        <v>449</v>
      </c>
      <c r="F82" s="4" t="s">
        <v>507</v>
      </c>
      <c r="G82" s="4" t="s">
        <v>485</v>
      </c>
      <c r="H82" s="4" t="s">
        <v>508</v>
      </c>
      <c r="I82" s="4"/>
      <c r="J82" s="17">
        <f>(200*1.125)/30</f>
        <v>7.5</v>
      </c>
      <c r="K82" s="4" t="s">
        <v>26</v>
      </c>
      <c r="L82" s="4" t="s">
        <v>451</v>
      </c>
      <c r="M82" s="4" t="s">
        <v>262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4" t="s">
        <v>994</v>
      </c>
      <c r="B83" s="4">
        <v>80</v>
      </c>
      <c r="C83" s="4" t="s">
        <v>448</v>
      </c>
      <c r="D83" s="4">
        <v>83427848</v>
      </c>
      <c r="E83" s="4" t="s">
        <v>449</v>
      </c>
      <c r="F83" s="4" t="s">
        <v>509</v>
      </c>
      <c r="G83" s="4" t="s">
        <v>485</v>
      </c>
      <c r="H83" s="4" t="s">
        <v>508</v>
      </c>
      <c r="I83" s="4"/>
      <c r="J83" s="17">
        <f t="shared" ref="J83:J85" si="13">(150*1.125)/30</f>
        <v>5.625</v>
      </c>
      <c r="K83" s="4" t="s">
        <v>26</v>
      </c>
      <c r="L83" s="4" t="s">
        <v>451</v>
      </c>
      <c r="M83" s="4" t="s">
        <v>262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4" t="s">
        <v>995</v>
      </c>
      <c r="B84" s="4">
        <v>81</v>
      </c>
      <c r="C84" s="4" t="s">
        <v>448</v>
      </c>
      <c r="D84" s="4">
        <v>83427848</v>
      </c>
      <c r="E84" s="4" t="s">
        <v>449</v>
      </c>
      <c r="F84" s="4" t="s">
        <v>510</v>
      </c>
      <c r="G84" s="4" t="s">
        <v>485</v>
      </c>
      <c r="H84" s="4" t="s">
        <v>508</v>
      </c>
      <c r="I84" s="4"/>
      <c r="J84" s="17">
        <f t="shared" si="13"/>
        <v>5.625</v>
      </c>
      <c r="K84" s="4" t="s">
        <v>26</v>
      </c>
      <c r="L84" s="4" t="s">
        <v>451</v>
      </c>
      <c r="M84" s="4" t="s">
        <v>262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4" t="s">
        <v>996</v>
      </c>
      <c r="B85" s="4">
        <v>82</v>
      </c>
      <c r="C85" s="4" t="s">
        <v>448</v>
      </c>
      <c r="D85" s="4">
        <v>83427848</v>
      </c>
      <c r="E85" s="4" t="s">
        <v>449</v>
      </c>
      <c r="F85" s="4" t="s">
        <v>511</v>
      </c>
      <c r="G85" s="4" t="s">
        <v>485</v>
      </c>
      <c r="H85" s="4" t="s">
        <v>508</v>
      </c>
      <c r="I85" s="4"/>
      <c r="J85" s="17">
        <f t="shared" si="13"/>
        <v>5.625</v>
      </c>
      <c r="K85" s="4" t="s">
        <v>26</v>
      </c>
      <c r="L85" s="4" t="s">
        <v>451</v>
      </c>
      <c r="M85" s="4" t="s">
        <v>262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4" t="s">
        <v>997</v>
      </c>
      <c r="B86" s="4">
        <v>83</v>
      </c>
      <c r="C86" s="4" t="s">
        <v>448</v>
      </c>
      <c r="D86" s="4">
        <v>83427848</v>
      </c>
      <c r="E86" s="4" t="s">
        <v>449</v>
      </c>
      <c r="F86" s="4" t="s">
        <v>512</v>
      </c>
      <c r="G86" s="4" t="s">
        <v>485</v>
      </c>
      <c r="H86" s="4" t="s">
        <v>513</v>
      </c>
      <c r="I86" s="4"/>
      <c r="J86" s="17">
        <f t="shared" ref="J86:J87" si="14">(125*1.125)/30</f>
        <v>4.6875</v>
      </c>
      <c r="K86" s="4" t="s">
        <v>26</v>
      </c>
      <c r="L86" s="4" t="s">
        <v>451</v>
      </c>
      <c r="M86" s="4" t="s">
        <v>262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4" t="s">
        <v>998</v>
      </c>
      <c r="B87" s="4">
        <v>84</v>
      </c>
      <c r="C87" s="4" t="s">
        <v>448</v>
      </c>
      <c r="D87" s="4">
        <v>83427848</v>
      </c>
      <c r="E87" s="4" t="s">
        <v>449</v>
      </c>
      <c r="F87" s="4" t="s">
        <v>514</v>
      </c>
      <c r="G87" s="4" t="s">
        <v>485</v>
      </c>
      <c r="H87" s="4" t="s">
        <v>513</v>
      </c>
      <c r="I87" s="4"/>
      <c r="J87" s="17">
        <f t="shared" si="14"/>
        <v>4.6875</v>
      </c>
      <c r="K87" s="4" t="s">
        <v>26</v>
      </c>
      <c r="L87" s="4" t="s">
        <v>451</v>
      </c>
      <c r="M87" s="4" t="s">
        <v>262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4" t="s">
        <v>999</v>
      </c>
      <c r="B88" s="4">
        <v>85</v>
      </c>
      <c r="C88" s="4" t="s">
        <v>448</v>
      </c>
      <c r="D88" s="4">
        <v>83427848</v>
      </c>
      <c r="E88" s="4" t="s">
        <v>449</v>
      </c>
      <c r="F88" s="4" t="s">
        <v>515</v>
      </c>
      <c r="G88" s="4" t="s">
        <v>485</v>
      </c>
      <c r="H88" s="4" t="s">
        <v>513</v>
      </c>
      <c r="I88" s="4"/>
      <c r="J88" s="17">
        <f>(120*1.125)/30</f>
        <v>4.5</v>
      </c>
      <c r="K88" s="4" t="s">
        <v>26</v>
      </c>
      <c r="L88" s="4" t="s">
        <v>451</v>
      </c>
      <c r="M88" s="4" t="s">
        <v>262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4" t="s">
        <v>1000</v>
      </c>
      <c r="B89" s="4">
        <v>86</v>
      </c>
      <c r="C89" s="4" t="s">
        <v>448</v>
      </c>
      <c r="D89" s="4">
        <v>83427848</v>
      </c>
      <c r="E89" s="4" t="s">
        <v>449</v>
      </c>
      <c r="F89" s="4" t="s">
        <v>516</v>
      </c>
      <c r="G89" s="4" t="s">
        <v>485</v>
      </c>
      <c r="H89" s="4" t="s">
        <v>513</v>
      </c>
      <c r="I89" s="4"/>
      <c r="J89" s="17">
        <f t="shared" ref="J89:J90" si="15">(125*1.125)/30</f>
        <v>4.6875</v>
      </c>
      <c r="K89" s="4" t="s">
        <v>26</v>
      </c>
      <c r="L89" s="4" t="s">
        <v>451</v>
      </c>
      <c r="M89" s="4" t="s">
        <v>262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4" t="s">
        <v>1001</v>
      </c>
      <c r="B90" s="4">
        <v>87</v>
      </c>
      <c r="C90" s="4" t="s">
        <v>448</v>
      </c>
      <c r="D90" s="4">
        <v>83427848</v>
      </c>
      <c r="E90" s="4" t="s">
        <v>449</v>
      </c>
      <c r="F90" s="4" t="s">
        <v>517</v>
      </c>
      <c r="G90" s="4" t="s">
        <v>485</v>
      </c>
      <c r="H90" s="4" t="s">
        <v>518</v>
      </c>
      <c r="I90" s="4"/>
      <c r="J90" s="17">
        <f t="shared" si="15"/>
        <v>4.6875</v>
      </c>
      <c r="K90" s="4" t="s">
        <v>26</v>
      </c>
      <c r="L90" s="4" t="s">
        <v>451</v>
      </c>
      <c r="M90" s="4" t="s">
        <v>262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4" t="s">
        <v>1002</v>
      </c>
      <c r="B91" s="4">
        <v>88</v>
      </c>
      <c r="C91" s="4" t="s">
        <v>448</v>
      </c>
      <c r="D91" s="4">
        <v>83427848</v>
      </c>
      <c r="E91" s="4" t="s">
        <v>449</v>
      </c>
      <c r="F91" s="4" t="s">
        <v>519</v>
      </c>
      <c r="G91" s="4" t="s">
        <v>485</v>
      </c>
      <c r="H91" s="4" t="s">
        <v>518</v>
      </c>
      <c r="I91" s="4"/>
      <c r="J91" s="17">
        <f>(150*1.125)/30</f>
        <v>5.625</v>
      </c>
      <c r="K91" s="4" t="s">
        <v>26</v>
      </c>
      <c r="L91" s="4" t="s">
        <v>451</v>
      </c>
      <c r="M91" s="4" t="s">
        <v>262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4" t="s">
        <v>1003</v>
      </c>
      <c r="B92" s="4">
        <v>89</v>
      </c>
      <c r="C92" s="4" t="s">
        <v>448</v>
      </c>
      <c r="D92" s="4">
        <v>83427848</v>
      </c>
      <c r="E92" s="4" t="s">
        <v>449</v>
      </c>
      <c r="F92" s="4" t="s">
        <v>520</v>
      </c>
      <c r="G92" s="4" t="s">
        <v>485</v>
      </c>
      <c r="H92" s="4" t="s">
        <v>518</v>
      </c>
      <c r="I92" s="4"/>
      <c r="J92" s="17">
        <f t="shared" ref="J92:J93" si="16">(125*1.125)/30</f>
        <v>4.6875</v>
      </c>
      <c r="K92" s="4" t="s">
        <v>26</v>
      </c>
      <c r="L92" s="4" t="s">
        <v>451</v>
      </c>
      <c r="M92" s="4" t="s">
        <v>262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4" t="s">
        <v>1004</v>
      </c>
      <c r="B93" s="4">
        <v>90</v>
      </c>
      <c r="C93" s="4" t="s">
        <v>448</v>
      </c>
      <c r="D93" s="4">
        <v>83427848</v>
      </c>
      <c r="E93" s="4" t="s">
        <v>449</v>
      </c>
      <c r="F93" s="4" t="s">
        <v>521</v>
      </c>
      <c r="G93" s="4" t="s">
        <v>485</v>
      </c>
      <c r="H93" s="4" t="s">
        <v>518</v>
      </c>
      <c r="I93" s="4"/>
      <c r="J93" s="17">
        <f t="shared" si="16"/>
        <v>4.6875</v>
      </c>
      <c r="K93" s="4" t="s">
        <v>26</v>
      </c>
      <c r="L93" s="4" t="s">
        <v>451</v>
      </c>
      <c r="M93" s="4" t="s">
        <v>262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4" t="s">
        <v>1005</v>
      </c>
      <c r="B94" s="4">
        <v>91</v>
      </c>
      <c r="C94" s="4" t="s">
        <v>448</v>
      </c>
      <c r="D94" s="4">
        <v>83427848</v>
      </c>
      <c r="E94" s="4" t="s">
        <v>449</v>
      </c>
      <c r="F94" s="4" t="s">
        <v>507</v>
      </c>
      <c r="G94" s="4" t="s">
        <v>485</v>
      </c>
      <c r="H94" s="4" t="s">
        <v>518</v>
      </c>
      <c r="I94" s="4"/>
      <c r="J94" s="17">
        <f>(150*1.125)/30</f>
        <v>5.625</v>
      </c>
      <c r="K94" s="4" t="s">
        <v>26</v>
      </c>
      <c r="L94" s="4" t="s">
        <v>451</v>
      </c>
      <c r="M94" s="4" t="s">
        <v>262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4" t="s">
        <v>1006</v>
      </c>
      <c r="B95" s="4">
        <v>92</v>
      </c>
      <c r="C95" s="4" t="s">
        <v>448</v>
      </c>
      <c r="D95" s="4">
        <v>83427848</v>
      </c>
      <c r="E95" s="4" t="s">
        <v>449</v>
      </c>
      <c r="F95" s="4" t="s">
        <v>522</v>
      </c>
      <c r="G95" s="4" t="s">
        <v>523</v>
      </c>
      <c r="H95" s="4" t="s">
        <v>524</v>
      </c>
      <c r="I95" s="4"/>
      <c r="J95" s="17">
        <f>(125*1.125)/30</f>
        <v>4.6875</v>
      </c>
      <c r="K95" s="4" t="s">
        <v>26</v>
      </c>
      <c r="L95" s="4" t="s">
        <v>451</v>
      </c>
      <c r="M95" s="4" t="s">
        <v>262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4" t="s">
        <v>1007</v>
      </c>
      <c r="B96" s="4">
        <v>93</v>
      </c>
      <c r="C96" s="4" t="s">
        <v>448</v>
      </c>
      <c r="D96" s="4">
        <v>83427848</v>
      </c>
      <c r="E96" s="4" t="s">
        <v>449</v>
      </c>
      <c r="F96" s="4" t="s">
        <v>525</v>
      </c>
      <c r="G96" s="4" t="s">
        <v>485</v>
      </c>
      <c r="H96" s="4" t="s">
        <v>524</v>
      </c>
      <c r="I96" s="4"/>
      <c r="J96" s="17">
        <f t="shared" ref="J96:J100" si="17">(110*1.125)/30</f>
        <v>4.125</v>
      </c>
      <c r="K96" s="4" t="s">
        <v>26</v>
      </c>
      <c r="L96" s="4" t="s">
        <v>451</v>
      </c>
      <c r="M96" s="4" t="s">
        <v>262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4" t="s">
        <v>1008</v>
      </c>
      <c r="B97" s="4">
        <v>94</v>
      </c>
      <c r="C97" s="4" t="s">
        <v>448</v>
      </c>
      <c r="D97" s="4">
        <v>83427848</v>
      </c>
      <c r="E97" s="4" t="s">
        <v>449</v>
      </c>
      <c r="F97" s="4" t="s">
        <v>526</v>
      </c>
      <c r="G97" s="4" t="s">
        <v>485</v>
      </c>
      <c r="H97" s="4" t="s">
        <v>524</v>
      </c>
      <c r="I97" s="4"/>
      <c r="J97" s="17">
        <f t="shared" si="17"/>
        <v>4.125</v>
      </c>
      <c r="K97" s="4" t="s">
        <v>26</v>
      </c>
      <c r="L97" s="4" t="s">
        <v>451</v>
      </c>
      <c r="M97" s="4" t="s">
        <v>262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4" t="s">
        <v>1009</v>
      </c>
      <c r="B98" s="4">
        <v>95</v>
      </c>
      <c r="C98" s="4" t="s">
        <v>448</v>
      </c>
      <c r="D98" s="4">
        <v>83427848</v>
      </c>
      <c r="E98" s="4" t="s">
        <v>449</v>
      </c>
      <c r="F98" s="4" t="s">
        <v>527</v>
      </c>
      <c r="G98" s="4" t="s">
        <v>485</v>
      </c>
      <c r="H98" s="4" t="s">
        <v>524</v>
      </c>
      <c r="I98" s="4"/>
      <c r="J98" s="17">
        <f t="shared" si="17"/>
        <v>4.125</v>
      </c>
      <c r="K98" s="4" t="s">
        <v>26</v>
      </c>
      <c r="L98" s="4" t="s">
        <v>451</v>
      </c>
      <c r="M98" s="4" t="s">
        <v>262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4" t="s">
        <v>1010</v>
      </c>
      <c r="B99" s="4">
        <v>96</v>
      </c>
      <c r="C99" s="4" t="s">
        <v>448</v>
      </c>
      <c r="D99" s="4">
        <v>83427848</v>
      </c>
      <c r="E99" s="4" t="s">
        <v>449</v>
      </c>
      <c r="F99" s="4" t="s">
        <v>528</v>
      </c>
      <c r="G99" s="4" t="s">
        <v>485</v>
      </c>
      <c r="H99" s="4" t="s">
        <v>524</v>
      </c>
      <c r="I99" s="4"/>
      <c r="J99" s="17">
        <f t="shared" si="17"/>
        <v>4.125</v>
      </c>
      <c r="K99" s="4" t="s">
        <v>26</v>
      </c>
      <c r="L99" s="4" t="s">
        <v>451</v>
      </c>
      <c r="M99" s="4" t="s">
        <v>262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4" t="s">
        <v>1011</v>
      </c>
      <c r="B100" s="4">
        <v>97</v>
      </c>
      <c r="C100" s="4" t="s">
        <v>448</v>
      </c>
      <c r="D100" s="4">
        <v>83427848</v>
      </c>
      <c r="E100" s="4" t="s">
        <v>449</v>
      </c>
      <c r="F100" s="4" t="s">
        <v>529</v>
      </c>
      <c r="G100" s="4" t="s">
        <v>485</v>
      </c>
      <c r="H100" s="4" t="s">
        <v>524</v>
      </c>
      <c r="I100" s="4"/>
      <c r="J100" s="17">
        <f t="shared" si="17"/>
        <v>4.125</v>
      </c>
      <c r="K100" s="4" t="s">
        <v>26</v>
      </c>
      <c r="L100" s="4" t="s">
        <v>451</v>
      </c>
      <c r="M100" s="4" t="s">
        <v>262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4" t="s">
        <v>1012</v>
      </c>
      <c r="B101" s="4">
        <v>98</v>
      </c>
      <c r="C101" s="4" t="s">
        <v>448</v>
      </c>
      <c r="D101" s="4">
        <v>83427848</v>
      </c>
      <c r="E101" s="4" t="s">
        <v>449</v>
      </c>
      <c r="F101" s="4" t="s">
        <v>530</v>
      </c>
      <c r="G101" s="4" t="s">
        <v>485</v>
      </c>
      <c r="H101" s="4" t="s">
        <v>531</v>
      </c>
      <c r="I101" s="4"/>
      <c r="J101" s="17">
        <f>(150*1.125)/30</f>
        <v>5.625</v>
      </c>
      <c r="K101" s="4" t="s">
        <v>26</v>
      </c>
      <c r="L101" s="4" t="s">
        <v>451</v>
      </c>
      <c r="M101" s="4" t="s">
        <v>262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4" t="s">
        <v>1013</v>
      </c>
      <c r="B102" s="4">
        <v>99</v>
      </c>
      <c r="C102" s="4" t="s">
        <v>448</v>
      </c>
      <c r="D102" s="4">
        <v>83427848</v>
      </c>
      <c r="E102" s="4" t="s">
        <v>449</v>
      </c>
      <c r="F102" s="4" t="s">
        <v>532</v>
      </c>
      <c r="G102" s="4" t="s">
        <v>498</v>
      </c>
      <c r="H102" s="4" t="s">
        <v>531</v>
      </c>
      <c r="I102" s="4"/>
      <c r="J102" s="17">
        <f>(110*1.125)/30</f>
        <v>4.125</v>
      </c>
      <c r="K102" s="4" t="s">
        <v>26</v>
      </c>
      <c r="L102" s="4" t="s">
        <v>451</v>
      </c>
      <c r="M102" s="4" t="s">
        <v>262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4" t="s">
        <v>1014</v>
      </c>
      <c r="B103" s="4">
        <v>100</v>
      </c>
      <c r="C103" s="4" t="s">
        <v>448</v>
      </c>
      <c r="D103" s="4">
        <v>83427848</v>
      </c>
      <c r="E103" s="4" t="s">
        <v>449</v>
      </c>
      <c r="F103" s="4" t="s">
        <v>533</v>
      </c>
      <c r="G103" s="4" t="s">
        <v>485</v>
      </c>
      <c r="H103" s="4" t="s">
        <v>531</v>
      </c>
      <c r="I103" s="4"/>
      <c r="J103" s="17">
        <f>(125*1.125)/30</f>
        <v>4.6875</v>
      </c>
      <c r="K103" s="4" t="s">
        <v>26</v>
      </c>
      <c r="L103" s="4" t="s">
        <v>451</v>
      </c>
      <c r="M103" s="4" t="s">
        <v>262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4" t="s">
        <v>1015</v>
      </c>
      <c r="B104" s="4">
        <v>101</v>
      </c>
      <c r="C104" s="4" t="s">
        <v>448</v>
      </c>
      <c r="D104" s="4">
        <v>83427848</v>
      </c>
      <c r="E104" s="4" t="s">
        <v>449</v>
      </c>
      <c r="F104" s="4" t="s">
        <v>534</v>
      </c>
      <c r="G104" s="4" t="s">
        <v>485</v>
      </c>
      <c r="H104" s="4" t="s">
        <v>531</v>
      </c>
      <c r="I104" s="4"/>
      <c r="J104" s="17">
        <f>(110*1.125)/30</f>
        <v>4.125</v>
      </c>
      <c r="K104" s="4" t="s">
        <v>26</v>
      </c>
      <c r="L104" s="4" t="s">
        <v>451</v>
      </c>
      <c r="M104" s="4" t="s">
        <v>262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4" t="s">
        <v>1016</v>
      </c>
      <c r="B105" s="4">
        <v>102</v>
      </c>
      <c r="C105" s="4" t="s">
        <v>448</v>
      </c>
      <c r="D105" s="4">
        <v>83427848</v>
      </c>
      <c r="E105" s="4" t="s">
        <v>449</v>
      </c>
      <c r="F105" s="4" t="s">
        <v>535</v>
      </c>
      <c r="G105" s="4" t="s">
        <v>485</v>
      </c>
      <c r="H105" s="4" t="s">
        <v>531</v>
      </c>
      <c r="I105" s="4"/>
      <c r="J105" s="17">
        <f>(120*1.125)/30</f>
        <v>4.5</v>
      </c>
      <c r="K105" s="4" t="s">
        <v>26</v>
      </c>
      <c r="L105" s="4" t="s">
        <v>451</v>
      </c>
      <c r="M105" s="4" t="s">
        <v>262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4" t="s">
        <v>1017</v>
      </c>
      <c r="B106" s="4">
        <v>103</v>
      </c>
      <c r="C106" s="4" t="s">
        <v>448</v>
      </c>
      <c r="D106" s="4">
        <v>83427848</v>
      </c>
      <c r="E106" s="4" t="s">
        <v>449</v>
      </c>
      <c r="F106" s="4" t="s">
        <v>536</v>
      </c>
      <c r="G106" s="4" t="s">
        <v>485</v>
      </c>
      <c r="H106" s="4" t="s">
        <v>207</v>
      </c>
      <c r="I106" s="4"/>
      <c r="J106" s="17">
        <f>(125*1.125)/30</f>
        <v>4.6875</v>
      </c>
      <c r="K106" s="4" t="s">
        <v>26</v>
      </c>
      <c r="L106" s="4" t="s">
        <v>451</v>
      </c>
      <c r="M106" s="4" t="s">
        <v>262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4" t="s">
        <v>1018</v>
      </c>
      <c r="B107" s="4">
        <v>104</v>
      </c>
      <c r="C107" s="4" t="s">
        <v>448</v>
      </c>
      <c r="D107" s="4">
        <v>83427848</v>
      </c>
      <c r="E107" s="4" t="s">
        <v>449</v>
      </c>
      <c r="F107" s="4" t="s">
        <v>537</v>
      </c>
      <c r="G107" s="4" t="s">
        <v>485</v>
      </c>
      <c r="H107" s="4" t="s">
        <v>204</v>
      </c>
      <c r="I107" s="4"/>
      <c r="J107" s="17">
        <f>(150*1.125)/30</f>
        <v>5.625</v>
      </c>
      <c r="K107" s="4" t="s">
        <v>26</v>
      </c>
      <c r="L107" s="4" t="s">
        <v>451</v>
      </c>
      <c r="M107" s="4" t="s">
        <v>262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4" t="s">
        <v>1019</v>
      </c>
      <c r="B108" s="4">
        <v>105</v>
      </c>
      <c r="C108" s="4" t="s">
        <v>448</v>
      </c>
      <c r="D108" s="4">
        <v>83427848</v>
      </c>
      <c r="E108" s="4" t="s">
        <v>449</v>
      </c>
      <c r="F108" s="4" t="s">
        <v>538</v>
      </c>
      <c r="G108" s="4" t="s">
        <v>485</v>
      </c>
      <c r="H108" s="4" t="s">
        <v>204</v>
      </c>
      <c r="I108" s="4"/>
      <c r="J108" s="17">
        <f>(110*1.125)/30</f>
        <v>4.125</v>
      </c>
      <c r="K108" s="4" t="s">
        <v>26</v>
      </c>
      <c r="L108" s="4" t="s">
        <v>451</v>
      </c>
      <c r="M108" s="4" t="s">
        <v>262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4" t="s">
        <v>1020</v>
      </c>
      <c r="B109" s="4">
        <v>106</v>
      </c>
      <c r="C109" s="4" t="s">
        <v>448</v>
      </c>
      <c r="D109" s="4">
        <v>83427848</v>
      </c>
      <c r="E109" s="4" t="s">
        <v>449</v>
      </c>
      <c r="F109" s="4" t="s">
        <v>539</v>
      </c>
      <c r="G109" s="4" t="s">
        <v>540</v>
      </c>
      <c r="H109" s="4" t="s">
        <v>401</v>
      </c>
      <c r="I109" s="4"/>
      <c r="J109" s="17">
        <f>(125*1.125)/30</f>
        <v>4.6875</v>
      </c>
      <c r="K109" s="4" t="s">
        <v>26</v>
      </c>
      <c r="L109" s="4" t="s">
        <v>451</v>
      </c>
      <c r="M109" s="4" t="s">
        <v>262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4" t="s">
        <v>1021</v>
      </c>
      <c r="B110" s="4">
        <v>107</v>
      </c>
      <c r="C110" s="4" t="s">
        <v>448</v>
      </c>
      <c r="D110" s="4">
        <v>83427848</v>
      </c>
      <c r="E110" s="4" t="s">
        <v>449</v>
      </c>
      <c r="F110" s="4" t="s">
        <v>541</v>
      </c>
      <c r="G110" s="4" t="s">
        <v>485</v>
      </c>
      <c r="H110" s="4" t="s">
        <v>401</v>
      </c>
      <c r="I110" s="4"/>
      <c r="J110" s="17">
        <f t="shared" ref="J110:J111" si="18">(120*1.125)/30</f>
        <v>4.5</v>
      </c>
      <c r="K110" s="4" t="s">
        <v>26</v>
      </c>
      <c r="L110" s="4" t="s">
        <v>451</v>
      </c>
      <c r="M110" s="4" t="s">
        <v>262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4" t="s">
        <v>1022</v>
      </c>
      <c r="B111" s="4">
        <v>108</v>
      </c>
      <c r="C111" s="4" t="s">
        <v>448</v>
      </c>
      <c r="D111" s="4">
        <v>83427848</v>
      </c>
      <c r="E111" s="4" t="s">
        <v>449</v>
      </c>
      <c r="F111" s="4" t="s">
        <v>542</v>
      </c>
      <c r="G111" s="4" t="s">
        <v>485</v>
      </c>
      <c r="H111" s="4" t="s">
        <v>401</v>
      </c>
      <c r="I111" s="4"/>
      <c r="J111" s="17">
        <f t="shared" si="18"/>
        <v>4.5</v>
      </c>
      <c r="K111" s="4" t="s">
        <v>26</v>
      </c>
      <c r="L111" s="4" t="s">
        <v>451</v>
      </c>
      <c r="M111" s="4" t="s">
        <v>262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4" t="s">
        <v>1023</v>
      </c>
      <c r="B112" s="4">
        <v>109</v>
      </c>
      <c r="C112" s="4" t="s">
        <v>448</v>
      </c>
      <c r="D112" s="4">
        <v>83427848</v>
      </c>
      <c r="E112" s="4" t="s">
        <v>449</v>
      </c>
      <c r="F112" s="4" t="s">
        <v>543</v>
      </c>
      <c r="G112" s="4" t="s">
        <v>485</v>
      </c>
      <c r="H112" s="4" t="s">
        <v>544</v>
      </c>
      <c r="I112" s="4"/>
      <c r="J112" s="17">
        <f>(190*1.125)/30</f>
        <v>7.125</v>
      </c>
      <c r="K112" s="4" t="s">
        <v>26</v>
      </c>
      <c r="L112" s="4" t="s">
        <v>451</v>
      </c>
      <c r="M112" s="4" t="s">
        <v>262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4" t="s">
        <v>1024</v>
      </c>
      <c r="B113" s="4">
        <v>110</v>
      </c>
      <c r="C113" s="4" t="s">
        <v>448</v>
      </c>
      <c r="D113" s="4">
        <v>83427848</v>
      </c>
      <c r="E113" s="4" t="s">
        <v>449</v>
      </c>
      <c r="F113" s="4" t="s">
        <v>545</v>
      </c>
      <c r="G113" s="4" t="s">
        <v>485</v>
      </c>
      <c r="H113" s="4" t="s">
        <v>544</v>
      </c>
      <c r="I113" s="4"/>
      <c r="J113" s="17">
        <f>(125*1.125)/30</f>
        <v>4.6875</v>
      </c>
      <c r="K113" s="4" t="s">
        <v>26</v>
      </c>
      <c r="L113" s="4" t="s">
        <v>451</v>
      </c>
      <c r="M113" s="4" t="s">
        <v>262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4" t="s">
        <v>1025</v>
      </c>
      <c r="B114" s="4">
        <v>111</v>
      </c>
      <c r="C114" s="4" t="s">
        <v>448</v>
      </c>
      <c r="D114" s="4">
        <v>83427848</v>
      </c>
      <c r="E114" s="4" t="s">
        <v>449</v>
      </c>
      <c r="F114" s="4" t="s">
        <v>546</v>
      </c>
      <c r="G114" s="4" t="s">
        <v>485</v>
      </c>
      <c r="H114" s="4" t="s">
        <v>544</v>
      </c>
      <c r="I114" s="4"/>
      <c r="J114" s="17">
        <f>(110*1.125)/30</f>
        <v>4.125</v>
      </c>
      <c r="K114" s="4" t="s">
        <v>26</v>
      </c>
      <c r="L114" s="4" t="s">
        <v>451</v>
      </c>
      <c r="M114" s="4" t="s">
        <v>262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4" t="s">
        <v>1026</v>
      </c>
      <c r="B115" s="4">
        <v>112</v>
      </c>
      <c r="C115" s="4" t="s">
        <v>448</v>
      </c>
      <c r="D115" s="4">
        <v>83427848</v>
      </c>
      <c r="E115" s="4" t="s">
        <v>449</v>
      </c>
      <c r="F115" s="4" t="s">
        <v>547</v>
      </c>
      <c r="G115" s="4" t="s">
        <v>485</v>
      </c>
      <c r="H115" s="4" t="s">
        <v>398</v>
      </c>
      <c r="I115" s="4"/>
      <c r="J115" s="17">
        <f>(125*1.125)/30</f>
        <v>4.6875</v>
      </c>
      <c r="K115" s="4" t="s">
        <v>26</v>
      </c>
      <c r="L115" s="4" t="s">
        <v>451</v>
      </c>
      <c r="M115" s="4" t="s">
        <v>262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4" t="s">
        <v>1027</v>
      </c>
      <c r="B116" s="4">
        <v>113</v>
      </c>
      <c r="C116" s="4" t="s">
        <v>448</v>
      </c>
      <c r="D116" s="4">
        <v>83427848</v>
      </c>
      <c r="E116" s="4" t="s">
        <v>449</v>
      </c>
      <c r="F116" s="4" t="s">
        <v>548</v>
      </c>
      <c r="G116" s="4" t="s">
        <v>485</v>
      </c>
      <c r="H116" s="4" t="s">
        <v>398</v>
      </c>
      <c r="I116" s="4"/>
      <c r="J116" s="17">
        <f>(110*1.125)/30</f>
        <v>4.125</v>
      </c>
      <c r="K116" s="4" t="s">
        <v>26</v>
      </c>
      <c r="L116" s="4" t="s">
        <v>451</v>
      </c>
      <c r="M116" s="4" t="s">
        <v>262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4" t="s">
        <v>1028</v>
      </c>
      <c r="B117" s="4">
        <v>114</v>
      </c>
      <c r="C117" s="4" t="s">
        <v>448</v>
      </c>
      <c r="D117" s="4">
        <v>83427848</v>
      </c>
      <c r="E117" s="4" t="s">
        <v>449</v>
      </c>
      <c r="F117" s="4" t="s">
        <v>549</v>
      </c>
      <c r="G117" s="4" t="s">
        <v>485</v>
      </c>
      <c r="H117" s="4" t="s">
        <v>388</v>
      </c>
      <c r="I117" s="4"/>
      <c r="J117" s="17">
        <f t="shared" ref="J117:J118" si="19">(125*1.125)/30</f>
        <v>4.6875</v>
      </c>
      <c r="K117" s="4" t="s">
        <v>26</v>
      </c>
      <c r="L117" s="4" t="s">
        <v>451</v>
      </c>
      <c r="M117" s="4" t="s">
        <v>262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4" t="s">
        <v>1029</v>
      </c>
      <c r="B118" s="4">
        <v>115</v>
      </c>
      <c r="C118" s="4" t="s">
        <v>448</v>
      </c>
      <c r="D118" s="4">
        <v>83427848</v>
      </c>
      <c r="E118" s="4" t="s">
        <v>449</v>
      </c>
      <c r="F118" s="4" t="s">
        <v>550</v>
      </c>
      <c r="G118" s="4" t="s">
        <v>485</v>
      </c>
      <c r="H118" s="4" t="s">
        <v>388</v>
      </c>
      <c r="I118" s="4"/>
      <c r="J118" s="17">
        <f t="shared" si="19"/>
        <v>4.6875</v>
      </c>
      <c r="K118" s="4" t="s">
        <v>26</v>
      </c>
      <c r="L118" s="4" t="s">
        <v>451</v>
      </c>
      <c r="M118" s="4" t="s">
        <v>262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4" t="s">
        <v>1030</v>
      </c>
      <c r="B119" s="4">
        <v>116</v>
      </c>
      <c r="C119" s="4" t="s">
        <v>448</v>
      </c>
      <c r="D119" s="4">
        <v>83427848</v>
      </c>
      <c r="E119" s="4" t="s">
        <v>449</v>
      </c>
      <c r="F119" s="4" t="s">
        <v>551</v>
      </c>
      <c r="G119" s="4" t="s">
        <v>498</v>
      </c>
      <c r="H119" s="4" t="s">
        <v>388</v>
      </c>
      <c r="I119" s="4"/>
      <c r="J119" s="17">
        <f>(110*1.125)/30</f>
        <v>4.125</v>
      </c>
      <c r="K119" s="4" t="s">
        <v>26</v>
      </c>
      <c r="L119" s="4" t="s">
        <v>451</v>
      </c>
      <c r="M119" s="4" t="s">
        <v>262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autoFilter ref="B2:M33" xr:uid="{00000000-0009-0000-0000-000004000000}"/>
  <mergeCells count="1">
    <mergeCell ref="B1:M1"/>
  </mergeCells>
  <phoneticPr fontId="24" type="noConversion"/>
  <hyperlinks>
    <hyperlink ref="E3" r:id="rId1" xr:uid="{00000000-0004-0000-0400-000000000000}"/>
    <hyperlink ref="C26" r:id="rId2" xr:uid="{00000000-0004-0000-0400-000001000000}"/>
    <hyperlink ref="C28" r:id="rId3" xr:uid="{00000000-0004-0000-0400-000002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979"/>
  <sheetViews>
    <sheetView workbookViewId="0">
      <pane ySplit="2" topLeftCell="A15" activePane="bottomLeft" state="frozen"/>
      <selection pane="bottomLeft" activeCell="A3" sqref="A3:A29"/>
    </sheetView>
  </sheetViews>
  <sheetFormatPr baseColWidth="10" defaultColWidth="11.1640625" defaultRowHeight="15" customHeight="1"/>
  <cols>
    <col min="2" max="2" width="4.83203125" customWidth="1"/>
    <col min="3" max="3" width="21.6640625" customWidth="1"/>
    <col min="4" max="4" width="10.5" customWidth="1"/>
    <col min="5" max="5" width="32.5" customWidth="1"/>
    <col min="6" max="6" width="19.5" customWidth="1"/>
    <col min="7" max="7" width="38.83203125" customWidth="1"/>
    <col min="8" max="8" width="28" customWidth="1"/>
    <col min="9" max="9" width="9.83203125" customWidth="1"/>
    <col min="10" max="10" width="18.1640625" customWidth="1"/>
    <col min="11" max="12" width="10.5" customWidth="1"/>
    <col min="13" max="13" width="11" customWidth="1"/>
    <col min="14" max="28" width="10.5" customWidth="1"/>
  </cols>
  <sheetData>
    <row r="1" spans="1:28" ht="33.75" customHeight="1">
      <c r="B1" s="45" t="s">
        <v>552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54" t="s">
        <v>1090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553</v>
      </c>
      <c r="G2" s="26" t="s">
        <v>554</v>
      </c>
      <c r="H2" s="26" t="s">
        <v>555</v>
      </c>
      <c r="I2" s="26" t="s">
        <v>556</v>
      </c>
      <c r="J2" s="26" t="s">
        <v>557</v>
      </c>
      <c r="K2" s="26" t="s">
        <v>382</v>
      </c>
      <c r="L2" s="26" t="s">
        <v>11</v>
      </c>
      <c r="M2" s="26" t="s">
        <v>12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53" t="s">
        <v>1031</v>
      </c>
      <c r="B3" s="52">
        <v>1</v>
      </c>
      <c r="C3" s="6" t="s">
        <v>558</v>
      </c>
      <c r="D3" s="4">
        <v>85807117</v>
      </c>
      <c r="E3" s="4" t="s">
        <v>559</v>
      </c>
      <c r="F3" s="4" t="s">
        <v>560</v>
      </c>
      <c r="G3" s="4" t="s">
        <v>561</v>
      </c>
      <c r="H3" s="4" t="s">
        <v>562</v>
      </c>
      <c r="I3" s="4" t="s">
        <v>563</v>
      </c>
      <c r="J3" s="17">
        <v>14985</v>
      </c>
      <c r="K3" s="4"/>
      <c r="L3" s="4"/>
      <c r="M3" s="4" t="s">
        <v>60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53" t="s">
        <v>1032</v>
      </c>
      <c r="B4" s="52">
        <v>2</v>
      </c>
      <c r="C4" s="4" t="s">
        <v>564</v>
      </c>
      <c r="D4" s="4">
        <v>99607336</v>
      </c>
      <c r="E4" s="4" t="s">
        <v>565</v>
      </c>
      <c r="F4" s="4" t="s">
        <v>566</v>
      </c>
      <c r="G4" s="4" t="s">
        <v>567</v>
      </c>
      <c r="H4" s="4" t="s">
        <v>562</v>
      </c>
      <c r="I4" s="8" t="s">
        <v>568</v>
      </c>
      <c r="J4" s="17">
        <v>4990</v>
      </c>
      <c r="K4" s="4"/>
      <c r="L4" s="4"/>
      <c r="M4" s="4" t="s">
        <v>60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>
      <c r="A5" s="53" t="s">
        <v>1033</v>
      </c>
      <c r="B5" s="52">
        <v>3</v>
      </c>
      <c r="C5" s="6" t="s">
        <v>569</v>
      </c>
      <c r="D5" s="4">
        <v>34042075</v>
      </c>
      <c r="E5" s="4" t="s">
        <v>570</v>
      </c>
      <c r="F5" s="4" t="s">
        <v>571</v>
      </c>
      <c r="G5" s="4" t="s">
        <v>572</v>
      </c>
      <c r="H5" s="4" t="s">
        <v>573</v>
      </c>
      <c r="I5" s="4" t="s">
        <v>563</v>
      </c>
      <c r="J5" s="17">
        <v>1799.99</v>
      </c>
      <c r="K5" s="4" t="s">
        <v>574</v>
      </c>
      <c r="L5" s="4"/>
      <c r="M5" s="4" t="s">
        <v>60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>
      <c r="A6" s="53" t="s">
        <v>1034</v>
      </c>
      <c r="B6" s="52">
        <v>4</v>
      </c>
      <c r="C6" s="4" t="s">
        <v>575</v>
      </c>
      <c r="D6" s="4">
        <v>119330113</v>
      </c>
      <c r="E6" s="4" t="s">
        <v>576</v>
      </c>
      <c r="F6" s="4" t="s">
        <v>577</v>
      </c>
      <c r="G6" s="4" t="s">
        <v>578</v>
      </c>
      <c r="H6" s="4" t="s">
        <v>562</v>
      </c>
      <c r="I6" s="4" t="s">
        <v>579</v>
      </c>
      <c r="J6" s="17">
        <v>12500</v>
      </c>
      <c r="K6" s="4"/>
      <c r="L6" s="4"/>
      <c r="M6" s="4" t="s">
        <v>60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02">
      <c r="A7" s="53" t="s">
        <v>1035</v>
      </c>
      <c r="B7" s="52">
        <v>5</v>
      </c>
      <c r="C7" s="6" t="s">
        <v>580</v>
      </c>
      <c r="D7" s="4">
        <v>92141137</v>
      </c>
      <c r="E7" s="4" t="s">
        <v>581</v>
      </c>
      <c r="F7" s="4" t="s">
        <v>577</v>
      </c>
      <c r="G7" s="4" t="s">
        <v>578</v>
      </c>
      <c r="H7" s="4" t="s">
        <v>562</v>
      </c>
      <c r="I7" s="4" t="s">
        <v>563</v>
      </c>
      <c r="J7" s="17">
        <v>22475</v>
      </c>
      <c r="K7" s="4"/>
      <c r="L7" s="4"/>
      <c r="M7" s="4" t="s">
        <v>60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>
      <c r="A8" s="53" t="s">
        <v>1036</v>
      </c>
      <c r="B8" s="52">
        <v>6</v>
      </c>
      <c r="C8" s="6" t="s">
        <v>582</v>
      </c>
      <c r="D8" s="4">
        <v>108363201</v>
      </c>
      <c r="E8" s="4" t="s">
        <v>582</v>
      </c>
      <c r="F8" s="4" t="s">
        <v>577</v>
      </c>
      <c r="G8" s="4" t="s">
        <v>578</v>
      </c>
      <c r="H8" s="4" t="s">
        <v>562</v>
      </c>
      <c r="I8" s="4" t="s">
        <v>563</v>
      </c>
      <c r="J8" s="17">
        <v>12500</v>
      </c>
      <c r="K8" s="4"/>
      <c r="L8" s="4"/>
      <c r="M8" s="4" t="s">
        <v>60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53" t="s">
        <v>1037</v>
      </c>
      <c r="B9" s="52">
        <v>7</v>
      </c>
      <c r="C9" s="6" t="s">
        <v>583</v>
      </c>
      <c r="D9" s="4">
        <v>42323592</v>
      </c>
      <c r="E9" s="4" t="s">
        <v>584</v>
      </c>
      <c r="F9" s="4" t="s">
        <v>585</v>
      </c>
      <c r="G9" s="4" t="s">
        <v>586</v>
      </c>
      <c r="H9" s="4" t="s">
        <v>562</v>
      </c>
      <c r="I9" s="4" t="s">
        <v>587</v>
      </c>
      <c r="J9" s="17">
        <v>24975</v>
      </c>
      <c r="K9" s="4"/>
      <c r="L9" s="4"/>
      <c r="M9" s="4" t="s">
        <v>60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04">
      <c r="A10" s="53" t="s">
        <v>1038</v>
      </c>
      <c r="B10" s="52">
        <v>8</v>
      </c>
      <c r="C10" s="6" t="s">
        <v>588</v>
      </c>
      <c r="D10" s="4">
        <v>31329829</v>
      </c>
      <c r="E10" s="4" t="s">
        <v>589</v>
      </c>
      <c r="F10" s="4" t="s">
        <v>590</v>
      </c>
      <c r="G10" s="4" t="s">
        <v>591</v>
      </c>
      <c r="H10" s="4" t="s">
        <v>592</v>
      </c>
      <c r="I10" s="4" t="s">
        <v>563</v>
      </c>
      <c r="J10" s="17">
        <v>12500</v>
      </c>
      <c r="K10" s="4"/>
      <c r="L10" s="4"/>
      <c r="M10" s="4" t="s">
        <v>60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A11" s="53" t="s">
        <v>1039</v>
      </c>
      <c r="B11" s="52">
        <v>9</v>
      </c>
      <c r="C11" s="6" t="s">
        <v>593</v>
      </c>
      <c r="D11" s="4">
        <v>15824969</v>
      </c>
      <c r="E11" s="4" t="s">
        <v>168</v>
      </c>
      <c r="F11" s="4" t="s">
        <v>594</v>
      </c>
      <c r="G11" s="4" t="s">
        <v>595</v>
      </c>
      <c r="H11" s="4" t="s">
        <v>596</v>
      </c>
      <c r="I11" s="4" t="s">
        <v>597</v>
      </c>
      <c r="J11" s="17">
        <v>23600</v>
      </c>
      <c r="K11" s="4"/>
      <c r="L11" s="4"/>
      <c r="M11" s="4" t="s">
        <v>60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53" t="s">
        <v>1040</v>
      </c>
      <c r="B12" s="52">
        <v>10</v>
      </c>
      <c r="C12" s="6" t="s">
        <v>598</v>
      </c>
      <c r="D12" s="4">
        <v>119998785</v>
      </c>
      <c r="E12" s="4" t="s">
        <v>599</v>
      </c>
      <c r="F12" s="4" t="s">
        <v>590</v>
      </c>
      <c r="G12" s="4" t="s">
        <v>600</v>
      </c>
      <c r="H12" s="4" t="s">
        <v>601</v>
      </c>
      <c r="I12" s="4" t="s">
        <v>602</v>
      </c>
      <c r="J12" s="17">
        <v>12500</v>
      </c>
      <c r="K12" s="4"/>
      <c r="L12" s="4"/>
      <c r="M12" s="4" t="s">
        <v>60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60" customHeight="1">
      <c r="A13" s="53" t="s">
        <v>1041</v>
      </c>
      <c r="B13" s="52">
        <v>11</v>
      </c>
      <c r="C13" s="4" t="s">
        <v>419</v>
      </c>
      <c r="D13" s="4">
        <v>70130485</v>
      </c>
      <c r="E13" s="4" t="s">
        <v>420</v>
      </c>
      <c r="F13" s="4" t="s">
        <v>585</v>
      </c>
      <c r="G13" s="4" t="s">
        <v>603</v>
      </c>
      <c r="H13" s="4" t="s">
        <v>604</v>
      </c>
      <c r="I13" s="4" t="s">
        <v>605</v>
      </c>
      <c r="J13" s="17">
        <v>25000</v>
      </c>
      <c r="K13" s="4"/>
      <c r="L13" s="4"/>
      <c r="M13" s="4" t="s">
        <v>60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89">
      <c r="A14" s="53" t="s">
        <v>1042</v>
      </c>
      <c r="B14" s="52">
        <v>12</v>
      </c>
      <c r="C14" s="4" t="s">
        <v>606</v>
      </c>
      <c r="D14" s="4">
        <v>3377873</v>
      </c>
      <c r="E14" s="4" t="s">
        <v>607</v>
      </c>
      <c r="F14" s="4" t="s">
        <v>590</v>
      </c>
      <c r="G14" s="4" t="s">
        <v>608</v>
      </c>
      <c r="H14" s="4" t="s">
        <v>609</v>
      </c>
      <c r="I14" s="4" t="s">
        <v>610</v>
      </c>
      <c r="J14" s="17">
        <v>6500</v>
      </c>
      <c r="K14" s="4" t="s">
        <v>26</v>
      </c>
      <c r="L14" s="4"/>
      <c r="M14" s="4" t="s">
        <v>60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A15" s="53" t="s">
        <v>1043</v>
      </c>
      <c r="B15" s="52">
        <v>13</v>
      </c>
      <c r="C15" s="4" t="s">
        <v>611</v>
      </c>
      <c r="D15" s="4">
        <v>90193202</v>
      </c>
      <c r="E15" s="4" t="s">
        <v>611</v>
      </c>
      <c r="F15" s="4" t="s">
        <v>590</v>
      </c>
      <c r="G15" s="4" t="s">
        <v>612</v>
      </c>
      <c r="H15" s="4" t="s">
        <v>107</v>
      </c>
      <c r="I15" s="4" t="s">
        <v>613</v>
      </c>
      <c r="J15" s="17">
        <v>6650</v>
      </c>
      <c r="K15" s="4"/>
      <c r="L15" s="4"/>
      <c r="M15" s="4" t="s">
        <v>60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A16" s="53" t="s">
        <v>1044</v>
      </c>
      <c r="B16" s="52">
        <v>14</v>
      </c>
      <c r="C16" s="27" t="s">
        <v>614</v>
      </c>
      <c r="D16" s="4">
        <v>62900021</v>
      </c>
      <c r="E16" s="4" t="s">
        <v>615</v>
      </c>
      <c r="F16" s="4" t="s">
        <v>616</v>
      </c>
      <c r="G16" s="4" t="s">
        <v>617</v>
      </c>
      <c r="H16" s="4" t="s">
        <v>107</v>
      </c>
      <c r="I16" s="4" t="s">
        <v>610</v>
      </c>
      <c r="J16" s="17">
        <v>44950</v>
      </c>
      <c r="K16" s="4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53" t="s">
        <v>1045</v>
      </c>
      <c r="B17" s="52">
        <v>15</v>
      </c>
      <c r="C17" s="6" t="s">
        <v>593</v>
      </c>
      <c r="D17" s="4">
        <v>15824969</v>
      </c>
      <c r="E17" s="4" t="s">
        <v>168</v>
      </c>
      <c r="F17" s="4" t="s">
        <v>590</v>
      </c>
      <c r="G17" s="4" t="s">
        <v>618</v>
      </c>
      <c r="H17" s="4" t="s">
        <v>619</v>
      </c>
      <c r="I17" s="4" t="s">
        <v>620</v>
      </c>
      <c r="J17" s="17">
        <v>22600</v>
      </c>
      <c r="K17" s="4" t="s">
        <v>621</v>
      </c>
      <c r="L17" s="4"/>
      <c r="M17" s="4" t="s">
        <v>60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53" t="s">
        <v>1046</v>
      </c>
      <c r="B18" s="52">
        <v>16</v>
      </c>
      <c r="C18" s="6" t="s">
        <v>622</v>
      </c>
      <c r="D18" s="4">
        <v>3453464</v>
      </c>
      <c r="E18" s="4" t="s">
        <v>209</v>
      </c>
      <c r="F18" s="4" t="s">
        <v>623</v>
      </c>
      <c r="G18" s="4" t="s">
        <v>624</v>
      </c>
      <c r="H18" s="4" t="s">
        <v>562</v>
      </c>
      <c r="I18" s="4" t="s">
        <v>602</v>
      </c>
      <c r="J18" s="17">
        <v>77400</v>
      </c>
      <c r="K18" s="4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53" t="s">
        <v>1047</v>
      </c>
      <c r="B19" s="52">
        <v>17</v>
      </c>
      <c r="C19" s="6" t="s">
        <v>622</v>
      </c>
      <c r="D19" s="4">
        <v>3453464</v>
      </c>
      <c r="E19" s="4" t="s">
        <v>209</v>
      </c>
      <c r="F19" s="4" t="s">
        <v>625</v>
      </c>
      <c r="G19" s="4" t="s">
        <v>626</v>
      </c>
      <c r="H19" s="4" t="s">
        <v>562</v>
      </c>
      <c r="I19" s="4" t="s">
        <v>602</v>
      </c>
      <c r="J19" s="17">
        <v>4500</v>
      </c>
      <c r="K19" s="4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53" t="s">
        <v>1048</v>
      </c>
      <c r="B20" s="52">
        <v>18</v>
      </c>
      <c r="C20" s="6" t="s">
        <v>622</v>
      </c>
      <c r="D20" s="4">
        <v>3453464</v>
      </c>
      <c r="E20" s="4" t="s">
        <v>209</v>
      </c>
      <c r="F20" s="4" t="s">
        <v>627</v>
      </c>
      <c r="G20" s="4" t="s">
        <v>628</v>
      </c>
      <c r="H20" s="4" t="s">
        <v>562</v>
      </c>
      <c r="I20" s="4" t="s">
        <v>602</v>
      </c>
      <c r="J20" s="17">
        <v>17820</v>
      </c>
      <c r="K20" s="4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53" t="s">
        <v>1049</v>
      </c>
      <c r="B21" s="52">
        <v>19</v>
      </c>
      <c r="C21" s="6" t="s">
        <v>622</v>
      </c>
      <c r="D21" s="4">
        <v>3453464</v>
      </c>
      <c r="E21" s="4" t="s">
        <v>209</v>
      </c>
      <c r="F21" s="4" t="s">
        <v>627</v>
      </c>
      <c r="G21" s="4" t="s">
        <v>629</v>
      </c>
      <c r="H21" s="4" t="s">
        <v>562</v>
      </c>
      <c r="I21" s="4" t="s">
        <v>602</v>
      </c>
      <c r="J21" s="17">
        <v>35640</v>
      </c>
      <c r="K21" s="4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>
      <c r="A22" s="53" t="s">
        <v>1050</v>
      </c>
      <c r="B22" s="52">
        <v>20</v>
      </c>
      <c r="C22" s="6" t="s">
        <v>622</v>
      </c>
      <c r="D22" s="4">
        <v>3453464</v>
      </c>
      <c r="E22" s="4" t="s">
        <v>209</v>
      </c>
      <c r="F22" s="4" t="s">
        <v>630</v>
      </c>
      <c r="G22" s="4"/>
      <c r="H22" s="4" t="s">
        <v>562</v>
      </c>
      <c r="I22" s="4" t="s">
        <v>602</v>
      </c>
      <c r="J22" s="17">
        <v>28512</v>
      </c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A23" s="53" t="s">
        <v>1051</v>
      </c>
      <c r="B23" s="52">
        <v>21</v>
      </c>
      <c r="C23" s="6" t="s">
        <v>622</v>
      </c>
      <c r="D23" s="4">
        <v>3453464</v>
      </c>
      <c r="E23" s="4" t="s">
        <v>209</v>
      </c>
      <c r="F23" s="4" t="s">
        <v>631</v>
      </c>
      <c r="G23" s="4" t="s">
        <v>632</v>
      </c>
      <c r="H23" s="4" t="s">
        <v>562</v>
      </c>
      <c r="I23" s="4" t="s">
        <v>602</v>
      </c>
      <c r="J23" s="17">
        <v>7200</v>
      </c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A24" s="53" t="s">
        <v>1052</v>
      </c>
      <c r="B24" s="52">
        <v>22</v>
      </c>
      <c r="C24" s="6" t="s">
        <v>622</v>
      </c>
      <c r="D24" s="4">
        <v>3453464</v>
      </c>
      <c r="E24" s="4" t="s">
        <v>209</v>
      </c>
      <c r="F24" s="4" t="s">
        <v>633</v>
      </c>
      <c r="G24" s="4"/>
      <c r="H24" s="4" t="s">
        <v>562</v>
      </c>
      <c r="I24" s="4" t="s">
        <v>602</v>
      </c>
      <c r="J24" s="17">
        <v>103950</v>
      </c>
      <c r="K24" s="4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A25" s="53" t="s">
        <v>1053</v>
      </c>
      <c r="B25" s="52">
        <v>23</v>
      </c>
      <c r="C25" s="6" t="s">
        <v>622</v>
      </c>
      <c r="D25" s="4">
        <v>3453464</v>
      </c>
      <c r="E25" s="4" t="s">
        <v>209</v>
      </c>
      <c r="F25" s="4" t="s">
        <v>634</v>
      </c>
      <c r="G25" s="4" t="s">
        <v>635</v>
      </c>
      <c r="H25" s="4" t="s">
        <v>562</v>
      </c>
      <c r="I25" s="4" t="s">
        <v>602</v>
      </c>
      <c r="J25" s="17">
        <v>55350</v>
      </c>
      <c r="K25" s="4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A26" s="53" t="s">
        <v>1054</v>
      </c>
      <c r="B26" s="52">
        <v>24</v>
      </c>
      <c r="C26" s="6" t="s">
        <v>622</v>
      </c>
      <c r="D26" s="4">
        <v>3453464</v>
      </c>
      <c r="E26" s="4" t="s">
        <v>209</v>
      </c>
      <c r="F26" s="4" t="s">
        <v>636</v>
      </c>
      <c r="G26" s="4"/>
      <c r="H26" s="4" t="s">
        <v>562</v>
      </c>
      <c r="I26" s="4" t="s">
        <v>602</v>
      </c>
      <c r="J26" s="17">
        <v>30600</v>
      </c>
      <c r="K26" s="4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A27" s="53" t="s">
        <v>1055</v>
      </c>
      <c r="B27" s="52">
        <v>25</v>
      </c>
      <c r="C27" s="6" t="s">
        <v>622</v>
      </c>
      <c r="D27" s="4">
        <v>3453464</v>
      </c>
      <c r="E27" s="4" t="s">
        <v>209</v>
      </c>
      <c r="F27" s="4" t="s">
        <v>637</v>
      </c>
      <c r="G27" s="4" t="s">
        <v>638</v>
      </c>
      <c r="H27" s="4" t="s">
        <v>639</v>
      </c>
      <c r="I27" s="4" t="s">
        <v>602</v>
      </c>
      <c r="J27" s="17">
        <v>11700</v>
      </c>
      <c r="K27" s="4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68">
      <c r="A28" s="53" t="s">
        <v>1056</v>
      </c>
      <c r="B28" s="52">
        <v>26</v>
      </c>
      <c r="C28" s="6" t="s">
        <v>598</v>
      </c>
      <c r="D28" s="4">
        <v>119998785</v>
      </c>
      <c r="E28" s="4" t="s">
        <v>599</v>
      </c>
      <c r="F28" s="4" t="s">
        <v>640</v>
      </c>
      <c r="G28" s="4" t="s">
        <v>641</v>
      </c>
      <c r="H28" s="4" t="s">
        <v>358</v>
      </c>
      <c r="I28" s="4" t="s">
        <v>610</v>
      </c>
      <c r="J28" s="17">
        <v>24990</v>
      </c>
      <c r="K28" s="4"/>
      <c r="L28" s="4"/>
      <c r="M28" s="4" t="s">
        <v>60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68">
      <c r="A29" s="53" t="s">
        <v>1057</v>
      </c>
      <c r="B29" s="52">
        <v>26</v>
      </c>
      <c r="C29" s="6" t="s">
        <v>1059</v>
      </c>
      <c r="D29" s="4">
        <v>120492954</v>
      </c>
      <c r="E29" s="4" t="s">
        <v>1058</v>
      </c>
      <c r="F29" s="4" t="s">
        <v>1060</v>
      </c>
      <c r="G29" s="4" t="s">
        <v>1061</v>
      </c>
      <c r="H29" s="4" t="s">
        <v>435</v>
      </c>
      <c r="I29" s="4" t="s">
        <v>1062</v>
      </c>
      <c r="J29" s="17">
        <v>24990</v>
      </c>
      <c r="K29" s="4"/>
      <c r="L29" s="4"/>
      <c r="M29" s="4" t="s">
        <v>60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2:28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2:28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2:28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2:28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2:28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2:2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2:28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2:28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2:28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2:28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2:28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2:28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2:28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2:28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2:28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2:2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2:28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2:28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2:28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2:28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2:28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2:28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2:28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2:28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2:28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2:2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2:28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2:28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2:28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2:28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2:28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2:28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2:28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2:28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2:28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2:2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2:28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2:28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2:28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2:28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2:28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2:28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2:28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2:28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2:28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2:2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2:28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2:28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2:28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2:28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2:28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2:28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2:28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2:28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2:28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2:2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2:28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2:28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2:28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2:28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2:28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2:28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2:28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2:28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2:28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2: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2:28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2:28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2:28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2:28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2:28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2:28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2:28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2:28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2:28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2:2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2:28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2:28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2:28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2:28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2:28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2:28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2:28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2:28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2:28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2:2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2:28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2:28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2:28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2:28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2:28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2:28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2:28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2:28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2:28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2:2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2:28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2:28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2:28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2:28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2:28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2:28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2:28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2:28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2:28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2:2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2:28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2:28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2:28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2:28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2:28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2:28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2:28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2:28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2:28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2:2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2:28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2:28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2:28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2:28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2:28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2:28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2:28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2:28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2:28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2:2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2:28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2:28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2:28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2:28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2:28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2:28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2:28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2:28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2:28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2:2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2:28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2:28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2:28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2:28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2:28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2:28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2:28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2:28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2:28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2:2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2:28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2:28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2:28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2:28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2:28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2:28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2:28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2:28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2:28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2:2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2:28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2:28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2:28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2:28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2:28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2:28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2:28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2:28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2:28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2: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2:28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2:28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2:28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2:28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2:28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2:28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2:28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2:28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2:28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2:2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2:28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2:28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2:28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2:28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2:28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2:28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2:28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2:28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2:28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2:2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2:28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2:28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2:28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2:28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2:28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2:28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2:28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2:28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2:28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2:2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2:28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2:28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2:28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2:28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2:28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2:28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2:28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2:28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2:28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2:2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2:28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2:28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2:28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2:28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2:28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2:28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2:28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2:28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2:28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2:2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2:28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2:28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2:28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2:28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2:28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2:28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2:28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2:28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2:28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2:2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2:28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2:28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2:28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2:28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2:28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2:28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2:28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2:28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2:28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2:2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2:28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2:28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2:28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2:28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2:28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2:28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2:28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2:2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2:28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2:28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2:28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2:28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2:28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2:28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2:28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2:28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2:28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2:2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2:28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2:28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2:28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2:28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2:28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2:28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2:28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2:28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2:28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2: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2:28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2:28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2:28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2:28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2:28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2:28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2:28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2:28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2:28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2:2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2:28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2:28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2:28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2:28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2:28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2:28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2:28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2:28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2:28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2:2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2:28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2:28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2:28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2:28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2:28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2:28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2:28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2:28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2:28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2:2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2:28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2:28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2:28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2:28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2:28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2:28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28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2:28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2:28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2:2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2:28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2:28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2:28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2:28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2:28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2:28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2:28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2:28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2:28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2:2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2:28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2:28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2:28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2:28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2:28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2:28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2:28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2:28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2:28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2:2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2:28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2:28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2:28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2:28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2:28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2:28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2:28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2:28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2:28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2:2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2:28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2:28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2:28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2:28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2:28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2:28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2:28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2:28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2:28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2:2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2:28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2:28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2:28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2:28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2:28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2:28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2:28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2:28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2:28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2:2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2:28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2:28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2:28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2:28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2:28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2:28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2:28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2:28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2:28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2: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2:28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2:28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2:28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2:28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2:28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2:28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2:28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2:28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2:28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2:2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2:28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2:28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2:28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2:28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2:28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2:28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2:28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2:28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2:28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2:2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2:28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2:28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2:28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2:28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2:28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2:28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2:28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2:28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2:28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2:2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2:28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2:28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2:28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2:28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2:28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2:28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2:28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2:28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2:28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2:2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2:28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2:28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2:28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2:28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2:28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2:28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2:28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2:28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2:28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2:2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2:28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2:28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2:28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2:28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2:28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2:28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2:28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2:28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2:28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2:2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2:28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2:28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2:28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2:28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2:28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2:28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2:28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2:28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2:28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2:2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2:28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2:28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2:28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2:28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2:28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2:28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2:28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2:28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2:28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2:2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2:28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2:28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2:28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2:28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2:28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2:28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2:28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2:28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2:28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2:2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2:28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2:28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2:28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2:28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2:28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2:28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2:28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2:28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2:28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2: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2:28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2:28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2:28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2:28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2:28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2:28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2:28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2:28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2:28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2:2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2:28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2:28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2:28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2:28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2:28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2:28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2:28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2:28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2:28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2:2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2:28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2:28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2:28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2:28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2:28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2:28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2:28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2:28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2:28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2:2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2:28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2:28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2:28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2:28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2:28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2:28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2:28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2:28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2:28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2:2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2:28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2:28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2:28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2:28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2:28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2:28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2:28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2:28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2:28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2:2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2:28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2:28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2:28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2:28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2:28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2:28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2:28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2:28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2:28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2:2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2:28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2:28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2:28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2:28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2:28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2:28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2:28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2:28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2:28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2:2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2:28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2:28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2:28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2:28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2:28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2:28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2:28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2:28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2:28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2:2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2:28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2:28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2:28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2:28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2:28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2:28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2:28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2:28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2:28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2:2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2:28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2:28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2:28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2:28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2:28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2:28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2:28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2:28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2:28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2: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2:28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2:28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2:28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2:28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2:28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2:28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2:28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2:28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2:28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2:2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2:28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2:28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2:28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2:28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2:28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2:28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2:28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2:28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2:28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2:2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2:28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2:28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2:28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2:28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2:28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2:28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2:28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2:28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2:28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2:2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2:28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2:28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2:28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2:28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2:28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2:28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2:28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2:28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2:28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2:2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2:28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2:28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2:28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2:28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2:28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2:28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2:28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2:28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2:28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2:2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2:28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2:28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2:28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2:28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2:28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2:28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2:28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2:28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2:28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2:2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2:28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2:28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2:28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2:28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2:28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2:28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2:28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2:28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2:28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2:2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2:28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2:28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2:28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2:28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2:28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2:28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2:28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2:28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2:28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2:2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2:28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2:28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2:28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2:28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2:28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2:28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2:28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2:28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2:28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2:2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2:28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2:28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2:28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2:28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2:28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2:28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2:28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2:28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2:28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2: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2:28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2:28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2:28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2:28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2:28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2:28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2:28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2:28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2:28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2:2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2:28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2:28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2:28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2:28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2:28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2:28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2:28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2:28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2:28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2:2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2:28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2:28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2:28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2:28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2:28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2:28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2:28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2:28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2:28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2:2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2:28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2:28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2:28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2:28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2:28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2:28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2:28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2:28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2:28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2:2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2:28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2:28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2:28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2:28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2:28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2:28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2:28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2:28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2:28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2:2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2:28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2:28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2:28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2:28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2:28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2:28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2:28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2:28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2:28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2:2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2:28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2:28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2:28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2:28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2:28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2:28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2:28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2:28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:28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2:28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2:28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2:28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2:28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2:2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2:28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2:28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2:28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2:28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2:28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2:28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2:28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2:28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2:28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2: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2:28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2:28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2:28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2:28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2:28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2:28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2:28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2:28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2:28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2:2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2:28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2:28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2:28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2:28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2:28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2:28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2:28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2:28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2:28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2:2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2:28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2:28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2:28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2:28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2:28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2:28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2:28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2:28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2:28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2:2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2:28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2:28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2:28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2:28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2:28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2:28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2:28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2:28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2:28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2:2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2:28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2:28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2:28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2:28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2:28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2:28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2:28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2:28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2:28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2:2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2:28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</sheetData>
  <customSheetViews>
    <customSheetView guid="{1C61B373-C418-466B-9F3B-83C181895304}" filter="1" showAutoFilter="1">
      <pageMargins left="0.7" right="0.7" top="0.75" bottom="0.75" header="0.3" footer="0.3"/>
      <autoFilter ref="A1:L18" xr:uid="{BF505C63-C5D4-DB40-B5AC-91C06BA0BA4E}"/>
      <extLst>
        <ext uri="GoogleSheetsCustomDataVersion1">
          <go:sheetsCustomData xmlns:go="http://customooxmlschemas.google.com/" filterViewId="70858460"/>
        </ext>
      </extLst>
    </customSheetView>
  </customSheetViews>
  <mergeCells count="1">
    <mergeCell ref="B1:M1"/>
  </mergeCells>
  <phoneticPr fontId="24" type="noConversion"/>
  <hyperlinks>
    <hyperlink ref="C3" r:id="rId1" xr:uid="{00000000-0004-0000-0600-000000000000}"/>
    <hyperlink ref="C5" r:id="rId2" xr:uid="{00000000-0004-0000-0600-000001000000}"/>
    <hyperlink ref="C7" r:id="rId3" xr:uid="{00000000-0004-0000-0600-000002000000}"/>
    <hyperlink ref="C8" r:id="rId4" xr:uid="{00000000-0004-0000-0600-000003000000}"/>
    <hyperlink ref="C9" r:id="rId5" xr:uid="{00000000-0004-0000-0600-000004000000}"/>
    <hyperlink ref="C10" r:id="rId6" xr:uid="{00000000-0004-0000-0600-000005000000}"/>
    <hyperlink ref="C11" r:id="rId7" xr:uid="{00000000-0004-0000-0600-000006000000}"/>
    <hyperlink ref="C12" r:id="rId8" xr:uid="{00000000-0004-0000-0600-000007000000}"/>
    <hyperlink ref="C16" r:id="rId9" xr:uid="{00000000-0004-0000-0600-000008000000}"/>
    <hyperlink ref="C17" r:id="rId10" xr:uid="{00000000-0004-0000-0600-000009000000}"/>
    <hyperlink ref="C18" r:id="rId11" xr:uid="{00000000-0004-0000-0600-00000A000000}"/>
    <hyperlink ref="C19" r:id="rId12" xr:uid="{00000000-0004-0000-0600-00000B000000}"/>
    <hyperlink ref="C20" r:id="rId13" xr:uid="{00000000-0004-0000-0600-00000C000000}"/>
    <hyperlink ref="C21" r:id="rId14" xr:uid="{00000000-0004-0000-0600-00000D000000}"/>
    <hyperlink ref="C22" r:id="rId15" xr:uid="{00000000-0004-0000-0600-00000E000000}"/>
    <hyperlink ref="C23" r:id="rId16" xr:uid="{00000000-0004-0000-0600-00000F000000}"/>
    <hyperlink ref="C24" r:id="rId17" xr:uid="{00000000-0004-0000-0600-000010000000}"/>
    <hyperlink ref="C25" r:id="rId18" xr:uid="{00000000-0004-0000-0600-000011000000}"/>
    <hyperlink ref="C26" r:id="rId19" xr:uid="{00000000-0004-0000-0600-000012000000}"/>
    <hyperlink ref="C27" r:id="rId20" xr:uid="{00000000-0004-0000-0600-000013000000}"/>
    <hyperlink ref="C28" r:id="rId21" xr:uid="{00000000-0004-0000-0600-000014000000}"/>
    <hyperlink ref="C29" r:id="rId22" display="PIXELATE" xr:uid="{8377207A-1D3F-F444-BD24-19F010D3B946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77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11.1640625" defaultRowHeight="15" customHeight="1"/>
  <cols>
    <col min="2" max="2" width="5" customWidth="1"/>
    <col min="3" max="3" width="17.5" customWidth="1"/>
    <col min="4" max="4" width="10.5" customWidth="1"/>
    <col min="5" max="5" width="32.5" customWidth="1"/>
    <col min="6" max="6" width="14.1640625" customWidth="1"/>
    <col min="7" max="7" width="22.6640625" customWidth="1"/>
    <col min="8" max="8" width="10.5" customWidth="1"/>
    <col min="9" max="9" width="14.83203125" customWidth="1"/>
    <col min="10" max="10" width="27.5" customWidth="1"/>
    <col min="11" max="11" width="22.83203125" customWidth="1"/>
    <col min="12" max="28" width="10.5" customWidth="1"/>
  </cols>
  <sheetData>
    <row r="1" spans="1:28" ht="30.75" customHeight="1">
      <c r="B1" s="45" t="s">
        <v>642</v>
      </c>
      <c r="C1" s="46"/>
      <c r="D1" s="46"/>
      <c r="E1" s="46"/>
      <c r="F1" s="46"/>
      <c r="G1" s="46"/>
      <c r="H1" s="46"/>
      <c r="I1" s="46"/>
      <c r="J1" s="4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54" t="s">
        <v>1090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643</v>
      </c>
      <c r="G2" s="2" t="s">
        <v>7</v>
      </c>
      <c r="H2" s="2" t="s">
        <v>644</v>
      </c>
      <c r="I2" s="2" t="s">
        <v>382</v>
      </c>
      <c r="J2" s="2" t="s">
        <v>645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53" t="s">
        <v>1063</v>
      </c>
      <c r="B3" s="52">
        <v>1</v>
      </c>
      <c r="C3" s="5" t="s">
        <v>646</v>
      </c>
      <c r="D3" s="4">
        <v>16898389</v>
      </c>
      <c r="E3" s="4" t="s">
        <v>647</v>
      </c>
      <c r="F3" s="4" t="s">
        <v>648</v>
      </c>
      <c r="G3" s="4" t="s">
        <v>435</v>
      </c>
      <c r="H3" s="17">
        <v>24975</v>
      </c>
      <c r="I3" s="10" t="s">
        <v>272</v>
      </c>
      <c r="J3" s="10">
        <v>864000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47.25" customHeight="1">
      <c r="A4" s="53" t="s">
        <v>1064</v>
      </c>
      <c r="B4" s="52">
        <v>2</v>
      </c>
      <c r="C4" s="6" t="s">
        <v>649</v>
      </c>
      <c r="D4" s="4">
        <v>84400552</v>
      </c>
      <c r="E4" s="4" t="s">
        <v>650</v>
      </c>
      <c r="F4" s="4" t="s">
        <v>651</v>
      </c>
      <c r="G4" s="4" t="s">
        <v>652</v>
      </c>
      <c r="H4" s="17">
        <v>22500</v>
      </c>
      <c r="I4" s="10" t="s">
        <v>272</v>
      </c>
      <c r="J4" s="10">
        <v>60000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>
      <c r="A5" s="53" t="s">
        <v>1065</v>
      </c>
      <c r="B5" s="52">
        <v>3</v>
      </c>
      <c r="C5" s="6" t="s">
        <v>653</v>
      </c>
      <c r="D5" s="4">
        <v>9543961</v>
      </c>
      <c r="E5" s="4" t="s">
        <v>654</v>
      </c>
      <c r="F5" s="4" t="s">
        <v>651</v>
      </c>
      <c r="G5" s="4" t="s">
        <v>655</v>
      </c>
      <c r="H5" s="17">
        <v>25000</v>
      </c>
      <c r="I5" s="10" t="s">
        <v>656</v>
      </c>
      <c r="J5" s="10" t="s">
        <v>657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>
      <c r="A6" s="53" t="s">
        <v>1066</v>
      </c>
      <c r="B6" s="52">
        <v>4</v>
      </c>
      <c r="C6" s="6" t="s">
        <v>658</v>
      </c>
      <c r="D6" s="4">
        <v>97178853</v>
      </c>
      <c r="E6" s="4" t="s">
        <v>659</v>
      </c>
      <c r="F6" s="4" t="s">
        <v>660</v>
      </c>
      <c r="G6" s="4" t="s">
        <v>326</v>
      </c>
      <c r="H6" s="17">
        <v>11250</v>
      </c>
      <c r="I6" s="10" t="s">
        <v>661</v>
      </c>
      <c r="J6" s="10">
        <v>19000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>
      <c r="A7" s="53" t="s">
        <v>1067</v>
      </c>
      <c r="B7" s="52">
        <v>5</v>
      </c>
      <c r="C7" s="6" t="s">
        <v>662</v>
      </c>
      <c r="D7" s="4">
        <v>6274935</v>
      </c>
      <c r="E7" s="4" t="s">
        <v>662</v>
      </c>
      <c r="F7" s="4" t="s">
        <v>663</v>
      </c>
      <c r="G7" s="4" t="s">
        <v>664</v>
      </c>
      <c r="H7" s="17">
        <v>12000</v>
      </c>
      <c r="I7" s="10" t="s">
        <v>26</v>
      </c>
      <c r="J7" s="10" t="s">
        <v>665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>
      <c r="A8" s="53" t="s">
        <v>1068</v>
      </c>
      <c r="B8" s="52">
        <v>6</v>
      </c>
      <c r="C8" s="5" t="s">
        <v>666</v>
      </c>
      <c r="D8" s="4">
        <v>733849</v>
      </c>
      <c r="E8" s="4" t="s">
        <v>667</v>
      </c>
      <c r="F8" s="4" t="s">
        <v>651</v>
      </c>
      <c r="G8" s="4" t="s">
        <v>435</v>
      </c>
      <c r="H8" s="17">
        <v>24750</v>
      </c>
      <c r="I8" s="10" t="s">
        <v>272</v>
      </c>
      <c r="J8" s="10">
        <v>76629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53" t="s">
        <v>1069</v>
      </c>
      <c r="B9" s="52">
        <v>7</v>
      </c>
      <c r="C9" s="6" t="s">
        <v>668</v>
      </c>
      <c r="D9" s="4">
        <v>104638826</v>
      </c>
      <c r="E9" s="4" t="s">
        <v>669</v>
      </c>
      <c r="F9" s="4" t="s">
        <v>670</v>
      </c>
      <c r="G9" s="4" t="s">
        <v>671</v>
      </c>
      <c r="H9" s="17">
        <v>8600</v>
      </c>
      <c r="I9" s="10" t="s">
        <v>272</v>
      </c>
      <c r="J9" s="10" t="s">
        <v>672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>
      <c r="A10" s="53" t="s">
        <v>1070</v>
      </c>
      <c r="B10" s="52">
        <v>8</v>
      </c>
      <c r="C10" s="5" t="s">
        <v>673</v>
      </c>
      <c r="D10" s="8">
        <v>113318359</v>
      </c>
      <c r="E10" s="4" t="s">
        <v>674</v>
      </c>
      <c r="F10" s="4" t="s">
        <v>670</v>
      </c>
      <c r="G10" s="8" t="s">
        <v>675</v>
      </c>
      <c r="H10" s="28" t="s">
        <v>676</v>
      </c>
      <c r="I10" s="10" t="s">
        <v>677</v>
      </c>
      <c r="J10" s="29" t="s">
        <v>678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2:28" ht="15.7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2:28" ht="15.7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2:28" ht="15.75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2:28" ht="15.75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28" ht="15.75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2:28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2:28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2:28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2:28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2:28" ht="15.7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2:28" ht="15.7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2:28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2:28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2:28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2:28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2:28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2:28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2:28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2:28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2:28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2:28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2:2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2:28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2:28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2:28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2:28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2:28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2:28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2:28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2:28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2:28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2:2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2:28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2:28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2:28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2:28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2:28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2:28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2:28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2:28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2:28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2:2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2:28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2:28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2:28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2:28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2:28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2:28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2:28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2:28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2:28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2:2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2:28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2:28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2:28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2:28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2:28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2:28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2:28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2:28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2:28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2:2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2:28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2:28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2:28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2:28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2:28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2:28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2:28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2:28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2:28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2:2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2:28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2:28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2:28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2:28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2:28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2:28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2:28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2:28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2:28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2: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2:28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2:28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2:28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2:28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2:28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2:28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2:28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2:28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2:28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2:2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2:28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2:28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2:28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2:28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2:28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2:28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2:28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2:28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2:28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2:2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2:28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2:28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2:28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2:28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2:28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2:28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2:28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2:28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2:28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2:2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2:28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2:28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2:28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2:28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2:28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2:28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2:28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2:28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2:28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2:2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2:28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2:28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2:28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2:28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2:28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2:28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2:28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2:28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2:28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2:2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2:28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2:28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2:28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2:28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2:28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2:28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2:28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2:28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2:28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2:2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2:28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2:28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2:28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2:28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2:28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2:28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2:28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2:28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2:28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2:2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2:28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2:28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2:28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2:28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2:28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2:28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2:28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2:28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2:28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2:2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2:28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2:28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2:28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2:28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2:28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2:28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2:28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2:28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2:28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2:2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2:28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2:28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2:28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2:28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2:28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2:28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2:28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2:28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2:28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2: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2:28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2:28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2:28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2:28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2:28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2:28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2:28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2:28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2:28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2:2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2:28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2:28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2:28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2:28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2:28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2:28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2:28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2:28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2:28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2:2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2:28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2:28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2:28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2:28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2:28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2:28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2:28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2:28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2:28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2:2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2:28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2:28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2:28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2:28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2:28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2:28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2:28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2:28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2:28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2:2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2:28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2:28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2:28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2:28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2:28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2:28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2:28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2:28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2:28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2:2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2:28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2:28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2:28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2:28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2:28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2:28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2:28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2:28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2:28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2:2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2:28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2:28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2:28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2:28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2:28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2:28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2:28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2:28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2:28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2:2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2:28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2:28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2:28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2:28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2:28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2:28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2:28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2:2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2:28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2:28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2:28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2:28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2:28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2:28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2:28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2:28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2:28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2:2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2:28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2:28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2:28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2:28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2:28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2:28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2:28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2:28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2:28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2: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2:28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2:28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2:28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2:28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2:28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2:28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2:28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2:28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2:28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2:2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2:28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2:28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2:28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2:28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2:28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2:28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2:28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2:28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2:28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2:2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2:28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2:28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2:28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2:28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2:28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2:28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2:28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2:28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2:28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2:2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2:28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2:28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2:28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2:28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2:28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2:28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28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2:28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2:28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2:2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2:28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2:28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2:28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2:28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2:28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2:28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2:28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2:28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2:28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2:2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2:28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2:28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2:28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2:28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2:28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2:28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2:28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2:28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2:28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2:2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2:28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2:28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2:28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2:28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2:28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2:28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2:28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2:28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2:28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2:2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2:28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2:28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2:28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2:28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2:28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2:28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2:28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2:28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2:28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2:2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2:28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2:28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2:28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2:28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2:28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2:28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2:28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2:28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2:28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2:2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2:28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2:28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2:28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2:28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2:28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2:28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2:28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2:28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2:28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2: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2:28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2:28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2:28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2:28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2:28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2:28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2:28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2:28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2:28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2:2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2:28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2:28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2:28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2:28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2:28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2:28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2:28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2:28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2:28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2:2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2:28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2:28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2:28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2:28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2:28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2:28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2:28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2:28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2:28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2:2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2:28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2:28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2:28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2:28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2:28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2:28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2:28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2:28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2:28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2:2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2:28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2:28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2:28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2:28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2:28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2:28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2:28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2:28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2:28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2:2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2:28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2:28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2:28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2:28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2:28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2:28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2:28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2:28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2:28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2:2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2:28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2:28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2:28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2:28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2:28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2:28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2:28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2:28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2:28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2:2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2:28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2:28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2:28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2:28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2:28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2:28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2:28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2:28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2:28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2:2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2:28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2:28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2:28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2:28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2:28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2:28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2:28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2:28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2:28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2:2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2:28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2:28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2:28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2:28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2:28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2:28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2:28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2:28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2:28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2: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2:28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2:28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2:28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2:28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2:28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2:28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2:28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2:28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2:28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2:2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2:28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2:28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2:28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2:28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2:28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2:28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2:28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2:28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2:28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2:2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2:28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2:28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2:28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2:28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2:28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2:28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2:28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2:28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2:28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2:2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2:28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2:28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2:28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2:28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2:28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2:28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2:28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2:28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2:28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2:2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2:28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2:28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2:28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2:28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2:28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2:28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2:28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2:28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2:28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2:2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2:28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2:28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2:28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2:28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2:28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2:28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2:28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2:28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2:28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2:2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2:28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2:28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2:28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2:28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2:28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2:28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2:28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2:28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2:28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2:2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2:28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2:28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2:28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2:28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2:28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2:28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2:28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2:28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2:28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2:2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2:28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2:28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2:28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2:28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2:28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2:28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2:28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2:28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2:28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2:2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2:28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2:28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2:28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2:28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2:28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2:28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2:28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2:28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2:28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2: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2:28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2:28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2:28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2:28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2:28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2:28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2:28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2:28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2:28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2:2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2:28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2:28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2:28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2:28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2:28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2:28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2:28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2:28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2:28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2:2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2:28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2:28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2:28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2:28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2:28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2:28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2:28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2:28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2:28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2:2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2:28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2:28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2:28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2:28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2:28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2:28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2:28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2:28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2:28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2:2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2:28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2:28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2:28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2:28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2:28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2:28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2:28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2:28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2:28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2:2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2:28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2:28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2:28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2:28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2:28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2:28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2:28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2:28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2:28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2:2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2:28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2:28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2:28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2:28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2:28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2:28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2:28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2:28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2:28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2:2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2:28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2:28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2:28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2:28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2:28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2:28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2:28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2:28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2:28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2:2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2:28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2:28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2:28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2:28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2:28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2:28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2:28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2:28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2:28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2:2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2:28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2:28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2:28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2:28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2:28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2:28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2:28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2:28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2:28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2: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2:28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2:28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2:28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2:28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2:28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2:28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2:28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2:28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2:28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2:2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2:28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2:28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2:28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2:28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2:28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2:28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2:28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2:28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2:28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2:2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2:28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2:28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2:28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2:28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2:28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2:28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2:28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2:28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2:28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2:2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2:28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2:28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2:28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2:28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2:28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2:28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2:28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2:28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2:28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2:2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2:28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2:28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2:28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2:28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2:28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2:28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2:28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2:28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2:28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2:2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2:28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2:28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2:28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2:28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2:28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2:28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2:28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2:28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2:28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2:2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2:28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2:28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2:28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2:28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2:28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2:28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2:28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2:28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:28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2:28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2:28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2:28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2:28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2:2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2:28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2:28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2:28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2:28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2:28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2:28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2:28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2:28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2:28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2: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2:28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2:28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2:28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2:28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2:28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2:28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2:28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2:28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2:28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2:2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2:28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2:28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2:28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2:28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2:28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2:28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2:28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2:28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2:28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2:2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2:28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2:28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2:28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2:28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2:28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2:28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2:28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2:28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2:28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2:2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2:28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2:28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2:28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2:28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2:28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2:28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2:28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2:28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2:28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2:2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2:28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2:28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2:28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2:28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2:28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2:28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2:28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2:28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2:28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</sheetData>
  <mergeCells count="1">
    <mergeCell ref="B1:J1"/>
  </mergeCells>
  <phoneticPr fontId="24" type="noConversion"/>
  <hyperlinks>
    <hyperlink ref="C3" r:id="rId1" xr:uid="{00000000-0004-0000-0800-000000000000}"/>
    <hyperlink ref="C4" r:id="rId2" xr:uid="{00000000-0004-0000-0800-000001000000}"/>
    <hyperlink ref="C5" r:id="rId3" xr:uid="{00000000-0004-0000-0800-000002000000}"/>
    <hyperlink ref="C6" r:id="rId4" xr:uid="{00000000-0004-0000-0800-000003000000}"/>
    <hyperlink ref="C7" r:id="rId5" xr:uid="{00000000-0004-0000-0800-000004000000}"/>
    <hyperlink ref="C8" r:id="rId6" xr:uid="{00000000-0004-0000-0800-000005000000}"/>
    <hyperlink ref="C9" r:id="rId7" xr:uid="{00000000-0004-0000-0800-000006000000}"/>
    <hyperlink ref="C10" r:id="rId8" xr:uid="{00000000-0004-0000-0800-000007000000}"/>
  </hyperlinks>
  <pageMargins left="0.7" right="0.7" top="0.75" bottom="0.75" header="0" footer="0"/>
  <pageSetup orientation="landscape"/>
  <legacy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001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11.1640625" defaultRowHeight="15" customHeight="1"/>
  <cols>
    <col min="2" max="2" width="4.83203125" customWidth="1"/>
    <col min="3" max="3" width="26.83203125" customWidth="1"/>
    <col min="4" max="4" width="10.5" customWidth="1"/>
    <col min="5" max="5" width="33.33203125" customWidth="1"/>
    <col min="6" max="6" width="37.5" customWidth="1"/>
    <col min="7" max="7" width="10.5" customWidth="1"/>
    <col min="8" max="8" width="17.5" customWidth="1"/>
    <col min="9" max="10" width="19.1640625" customWidth="1"/>
    <col min="11" max="11" width="15.33203125" customWidth="1"/>
    <col min="12" max="28" width="10.5" customWidth="1"/>
  </cols>
  <sheetData>
    <row r="1" spans="1:28" ht="27.75" customHeight="1">
      <c r="B1" s="48" t="s">
        <v>681</v>
      </c>
      <c r="C1" s="49"/>
      <c r="D1" s="49"/>
      <c r="E1" s="49"/>
      <c r="F1" s="49"/>
      <c r="G1" s="49"/>
      <c r="H1" s="49"/>
      <c r="I1" s="49"/>
      <c r="J1" s="4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>
      <c r="A2" s="2" t="s">
        <v>1090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643</v>
      </c>
      <c r="G2" s="2" t="s">
        <v>7</v>
      </c>
      <c r="H2" s="2" t="s">
        <v>682</v>
      </c>
      <c r="I2" s="2" t="s">
        <v>382</v>
      </c>
      <c r="J2" s="2" t="s">
        <v>683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53" t="s">
        <v>1071</v>
      </c>
      <c r="B3" s="52">
        <v>1</v>
      </c>
      <c r="C3" s="6" t="s">
        <v>684</v>
      </c>
      <c r="D3" s="8">
        <v>111199417</v>
      </c>
      <c r="E3" s="4" t="s">
        <v>685</v>
      </c>
      <c r="F3" s="4" t="s">
        <v>686</v>
      </c>
      <c r="G3" s="4" t="s">
        <v>24</v>
      </c>
      <c r="H3" s="4" t="s">
        <v>687</v>
      </c>
      <c r="I3" s="4" t="s">
        <v>688</v>
      </c>
      <c r="J3" s="4" t="s">
        <v>689</v>
      </c>
      <c r="K3" s="1" t="s">
        <v>690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53" t="s">
        <v>1072</v>
      </c>
      <c r="B4" s="52">
        <v>2</v>
      </c>
      <c r="C4" s="6" t="s">
        <v>673</v>
      </c>
      <c r="D4" s="14">
        <v>113318359</v>
      </c>
      <c r="E4" s="4" t="s">
        <v>674</v>
      </c>
      <c r="F4" s="4" t="s">
        <v>691</v>
      </c>
      <c r="G4" s="4" t="s">
        <v>24</v>
      </c>
      <c r="H4" s="4" t="s">
        <v>692</v>
      </c>
      <c r="I4" s="4" t="s">
        <v>26</v>
      </c>
      <c r="J4" s="4" t="s">
        <v>693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>
      <c r="A5" s="53" t="s">
        <v>1073</v>
      </c>
      <c r="B5" s="52">
        <v>3</v>
      </c>
      <c r="C5" s="6" t="s">
        <v>694</v>
      </c>
      <c r="D5" s="4">
        <v>103630198</v>
      </c>
      <c r="E5" s="4" t="s">
        <v>695</v>
      </c>
      <c r="F5" s="4" t="s">
        <v>696</v>
      </c>
      <c r="G5" s="4" t="s">
        <v>24</v>
      </c>
      <c r="H5" s="4" t="s">
        <v>692</v>
      </c>
      <c r="I5" s="4" t="s">
        <v>26</v>
      </c>
      <c r="J5" s="30" t="s">
        <v>697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>
      <c r="A6" s="53" t="s">
        <v>1074</v>
      </c>
      <c r="B6" s="52">
        <v>4</v>
      </c>
      <c r="C6" s="6" t="s">
        <v>698</v>
      </c>
      <c r="D6" s="4" t="s">
        <v>699</v>
      </c>
      <c r="E6" s="4" t="s">
        <v>700</v>
      </c>
      <c r="F6" s="4" t="s">
        <v>696</v>
      </c>
      <c r="G6" s="4" t="s">
        <v>701</v>
      </c>
      <c r="H6" s="4" t="s">
        <v>692</v>
      </c>
      <c r="I6" s="4" t="s">
        <v>26</v>
      </c>
      <c r="J6" s="31" t="s">
        <v>702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>
      <c r="A7" s="53" t="s">
        <v>1075</v>
      </c>
      <c r="B7" s="52">
        <v>5</v>
      </c>
      <c r="C7" s="6" t="s">
        <v>703</v>
      </c>
      <c r="D7" s="4">
        <v>43198139</v>
      </c>
      <c r="E7" s="4" t="s">
        <v>224</v>
      </c>
      <c r="F7" s="4" t="s">
        <v>704</v>
      </c>
      <c r="G7" s="4" t="s">
        <v>435</v>
      </c>
      <c r="H7" s="4" t="s">
        <v>705</v>
      </c>
      <c r="I7" s="4" t="s">
        <v>26</v>
      </c>
      <c r="J7" s="4">
        <v>3.15E-2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>
      <c r="A8" s="53" t="s">
        <v>1076</v>
      </c>
      <c r="B8" s="52">
        <v>6</v>
      </c>
      <c r="C8" s="4" t="s">
        <v>706</v>
      </c>
      <c r="D8" s="4" t="s">
        <v>707</v>
      </c>
      <c r="E8" s="4" t="s">
        <v>708</v>
      </c>
      <c r="F8" s="4" t="s">
        <v>691</v>
      </c>
      <c r="G8" s="4" t="s">
        <v>435</v>
      </c>
      <c r="H8" s="4" t="s">
        <v>709</v>
      </c>
      <c r="I8" s="4" t="s">
        <v>26</v>
      </c>
      <c r="J8" s="4">
        <v>1.9E-2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>
      <c r="A9" s="53" t="s">
        <v>1077</v>
      </c>
      <c r="B9" s="52">
        <v>7</v>
      </c>
      <c r="C9" s="5" t="s">
        <v>710</v>
      </c>
      <c r="D9" s="4">
        <v>113576757</v>
      </c>
      <c r="E9" s="4" t="s">
        <v>711</v>
      </c>
      <c r="F9" s="4" t="s">
        <v>696</v>
      </c>
      <c r="G9" s="4" t="s">
        <v>435</v>
      </c>
      <c r="H9" s="4" t="s">
        <v>712</v>
      </c>
      <c r="I9" s="4" t="s">
        <v>26</v>
      </c>
      <c r="J9" s="4" t="s">
        <v>713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>
      <c r="A10" s="53" t="s">
        <v>1078</v>
      </c>
      <c r="B10" s="52">
        <v>8</v>
      </c>
      <c r="C10" s="6" t="s">
        <v>680</v>
      </c>
      <c r="D10" s="4">
        <v>84400552</v>
      </c>
      <c r="E10" s="4" t="s">
        <v>650</v>
      </c>
      <c r="F10" s="4" t="s">
        <v>714</v>
      </c>
      <c r="G10" s="4" t="s">
        <v>435</v>
      </c>
      <c r="H10" s="4" t="s">
        <v>715</v>
      </c>
      <c r="I10" s="4" t="s">
        <v>26</v>
      </c>
      <c r="J10" s="4" t="s">
        <v>716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>
      <c r="A11" s="53" t="s">
        <v>1079</v>
      </c>
      <c r="B11" s="52">
        <v>9</v>
      </c>
      <c r="C11" s="4" t="s">
        <v>717</v>
      </c>
      <c r="D11" s="4">
        <v>107568233</v>
      </c>
      <c r="E11" s="4" t="s">
        <v>718</v>
      </c>
      <c r="F11" s="4" t="s">
        <v>719</v>
      </c>
      <c r="G11" s="4" t="s">
        <v>435</v>
      </c>
      <c r="H11" s="10">
        <v>300000</v>
      </c>
      <c r="I11" s="4" t="s">
        <v>26</v>
      </c>
      <c r="J11" s="17">
        <v>13.33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>
      <c r="A12" s="53" t="s">
        <v>1080</v>
      </c>
      <c r="B12" s="52">
        <v>10</v>
      </c>
      <c r="C12" s="6" t="s">
        <v>720</v>
      </c>
      <c r="D12" s="4">
        <v>733849</v>
      </c>
      <c r="E12" s="4" t="s">
        <v>667</v>
      </c>
      <c r="F12" s="4" t="s">
        <v>721</v>
      </c>
      <c r="G12" s="4" t="s">
        <v>24</v>
      </c>
      <c r="H12" s="32">
        <v>650000</v>
      </c>
      <c r="I12" s="4" t="s">
        <v>26</v>
      </c>
      <c r="J12" s="4" t="s">
        <v>722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>
      <c r="A13" s="53" t="s">
        <v>1081</v>
      </c>
      <c r="B13" s="52">
        <v>11</v>
      </c>
      <c r="C13" s="6" t="s">
        <v>723</v>
      </c>
      <c r="D13" s="4">
        <v>3453464</v>
      </c>
      <c r="E13" s="4" t="s">
        <v>209</v>
      </c>
      <c r="F13" s="4"/>
      <c r="G13" s="4" t="s">
        <v>24</v>
      </c>
      <c r="H13" s="10">
        <v>5200000</v>
      </c>
      <c r="I13" s="4" t="s">
        <v>26</v>
      </c>
      <c r="J13" s="17">
        <v>9562.5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>
      <c r="A14" s="53" t="s">
        <v>1082</v>
      </c>
      <c r="B14" s="52">
        <v>12</v>
      </c>
      <c r="C14" s="6" t="s">
        <v>646</v>
      </c>
      <c r="D14" s="4">
        <v>16898389</v>
      </c>
      <c r="E14" s="4" t="s">
        <v>724</v>
      </c>
      <c r="F14" s="4" t="s">
        <v>725</v>
      </c>
      <c r="G14" s="4" t="s">
        <v>24</v>
      </c>
      <c r="H14" s="10">
        <v>100000</v>
      </c>
      <c r="I14" s="4" t="s">
        <v>26</v>
      </c>
      <c r="J14" s="17">
        <v>7.3000000000000001E-3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>
      <c r="A15" s="53" t="s">
        <v>1083</v>
      </c>
      <c r="B15" s="52">
        <v>13</v>
      </c>
      <c r="C15" s="6" t="s">
        <v>726</v>
      </c>
      <c r="D15" s="4">
        <v>1</v>
      </c>
      <c r="E15" s="4" t="s">
        <v>209</v>
      </c>
      <c r="F15" s="4" t="s">
        <v>727</v>
      </c>
      <c r="G15" s="4" t="s">
        <v>24</v>
      </c>
      <c r="H15" s="4">
        <v>250000</v>
      </c>
      <c r="I15" s="4" t="s">
        <v>26</v>
      </c>
      <c r="J15" s="17">
        <v>4500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>
      <c r="A16" s="53" t="s">
        <v>1084</v>
      </c>
      <c r="B16" s="52">
        <v>14</v>
      </c>
      <c r="C16" s="5" t="s">
        <v>726</v>
      </c>
      <c r="D16" s="4">
        <v>3453464</v>
      </c>
      <c r="E16" s="4" t="s">
        <v>209</v>
      </c>
      <c r="F16" s="4" t="s">
        <v>728</v>
      </c>
      <c r="G16" s="4" t="s">
        <v>24</v>
      </c>
      <c r="H16" s="4">
        <v>50000</v>
      </c>
      <c r="I16" s="4" t="s">
        <v>26</v>
      </c>
      <c r="J16" s="17">
        <v>2700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>
      <c r="A17" s="53" t="s">
        <v>1085</v>
      </c>
      <c r="B17" s="52">
        <v>15</v>
      </c>
      <c r="C17" s="6" t="s">
        <v>726</v>
      </c>
      <c r="D17" s="4">
        <v>3453464</v>
      </c>
      <c r="E17" s="4" t="s">
        <v>209</v>
      </c>
      <c r="F17" s="4" t="s">
        <v>729</v>
      </c>
      <c r="G17" s="4" t="s">
        <v>24</v>
      </c>
      <c r="H17" s="4">
        <v>150000</v>
      </c>
      <c r="I17" s="4" t="s">
        <v>26</v>
      </c>
      <c r="J17" s="17">
        <v>4500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>
      <c r="A18" s="53" t="s">
        <v>1086</v>
      </c>
      <c r="B18" s="52">
        <v>16</v>
      </c>
      <c r="C18" s="6" t="s">
        <v>730</v>
      </c>
      <c r="D18" s="4">
        <v>3453464</v>
      </c>
      <c r="E18" s="4" t="s">
        <v>209</v>
      </c>
      <c r="F18" s="4" t="s">
        <v>731</v>
      </c>
      <c r="G18" s="4" t="s">
        <v>24</v>
      </c>
      <c r="H18" s="4"/>
      <c r="I18" s="4" t="s">
        <v>26</v>
      </c>
      <c r="J18" s="4" t="s">
        <v>732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>
      <c r="A19" s="53" t="s">
        <v>1087</v>
      </c>
      <c r="B19" s="52">
        <v>17</v>
      </c>
      <c r="C19" s="6" t="s">
        <v>733</v>
      </c>
      <c r="D19" s="4">
        <v>3453464</v>
      </c>
      <c r="E19" s="4" t="s">
        <v>209</v>
      </c>
      <c r="F19" s="4" t="s">
        <v>734</v>
      </c>
      <c r="G19" s="4" t="s">
        <v>24</v>
      </c>
      <c r="H19" s="4"/>
      <c r="I19" s="4" t="s">
        <v>26</v>
      </c>
      <c r="J19" s="17">
        <v>11250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>
      <c r="A20" s="53" t="s">
        <v>1088</v>
      </c>
      <c r="B20" s="52">
        <v>18</v>
      </c>
      <c r="C20" s="6" t="s">
        <v>733</v>
      </c>
      <c r="D20" s="4">
        <v>3453464</v>
      </c>
      <c r="E20" s="4" t="s">
        <v>209</v>
      </c>
      <c r="F20" s="4" t="s">
        <v>735</v>
      </c>
      <c r="G20" s="4" t="s">
        <v>24</v>
      </c>
      <c r="H20" s="4"/>
      <c r="I20" s="4" t="s">
        <v>26</v>
      </c>
      <c r="J20" s="17">
        <v>9000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>
      <c r="A21" s="53" t="s">
        <v>1089</v>
      </c>
      <c r="B21" s="52">
        <v>19</v>
      </c>
      <c r="C21" s="6" t="s">
        <v>736</v>
      </c>
      <c r="D21" s="4">
        <v>3453464</v>
      </c>
      <c r="E21" s="4" t="s">
        <v>209</v>
      </c>
      <c r="F21" s="4" t="s">
        <v>736</v>
      </c>
      <c r="G21" s="4" t="s">
        <v>24</v>
      </c>
      <c r="H21" s="4"/>
      <c r="I21" s="4" t="s">
        <v>26</v>
      </c>
      <c r="J21" s="17">
        <v>5625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5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5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5.7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5.7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5.7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5.7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5.7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5.7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5.7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5.7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5.7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5.7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5.7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5.7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5.7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5.7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5.7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5.7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5.7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5.7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5.7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5.7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5.7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5.7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5.7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5.7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5.7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5.7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5.7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5.7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5.7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5.7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5.7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5.7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5.7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5.7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5.7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5.7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5.7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5.7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5.7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5.7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5.7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5.7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5.7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5.7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5.7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5.7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5.7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5.7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5.7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5.7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5.7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5.7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5.7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5.7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5.7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5.7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5.7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5.7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5.7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5.7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2:28" ht="15.7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2:28" ht="15.7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2:28" ht="15.7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2:28" ht="15.7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2:28" ht="15.7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2:28" ht="15.7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2:28" ht="15.7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2:28" ht="15.7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2:28" ht="15.7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2:28" ht="15.7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2:28" ht="15.7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2:28" ht="15.7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2:28" ht="15.7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2:28" ht="15.7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2:28" ht="15.7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2:28" ht="15.7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2:28" ht="15.7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2:28" ht="15.7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2:28" ht="15.7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2:28" ht="15.7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2:28" ht="15.7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2:28" ht="15.7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2:28" ht="15.7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2:28" ht="15.7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2:28" ht="15.7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2:28" ht="15.7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2:28" ht="15.7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2:28" ht="15.7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2:28" ht="15.7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2:28" ht="15.7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2:28" ht="15.7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2:28" ht="15.7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2:28" ht="15.7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2:28" ht="15.7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2:28" ht="15.7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2:28" ht="15.7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2:28" ht="15.7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2:28" ht="15.7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2:28" ht="15.7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2:28" ht="15.7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2:28" ht="15.7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2:28" ht="15.7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2:28" ht="15.7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2:28" ht="15.7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2:28" ht="15.7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2:28" ht="15.7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2:28" ht="15.7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2:28" ht="15.7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2:28" ht="15.7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2:28" ht="15.7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2:28" ht="15.7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2:28" ht="15.7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2:28" ht="15.7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2:28" ht="15.7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2:28" ht="15.7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2:28" ht="15.7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2:28" ht="15.7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2:28" ht="15.7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2:28" ht="15.7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2:28" ht="15.7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2:28" ht="15.7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2:28" ht="15.7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2:28" ht="15.7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2:28" ht="15.7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2:28" ht="15.7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2:28" ht="15.7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2:28" ht="15.7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2:28" ht="15.7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2:28" ht="15.7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2:28" ht="15.7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2:28" ht="15.7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2:28" ht="15.7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2:28" ht="15.7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2:28" ht="15.7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2:28" ht="15.7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2:28" ht="15.7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2:28" ht="15.7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2:28" ht="15.7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2:28" ht="15.7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2:28" ht="15.7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2:28" ht="15.7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2:28" ht="15.7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2:28" ht="15.7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2:28" ht="15.7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2:28" ht="15.7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2:28" ht="15.7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2:28" ht="15.7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2:28" ht="15.7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2:28" ht="15.7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2:28" ht="15.7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2:28" ht="15.7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2:28" ht="15.7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2:28" ht="15.7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2:28" ht="15.7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2:28" ht="15.7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2:28" ht="15.7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2:28" ht="15.7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2:28" ht="15.7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2:28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2:28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2:28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2:28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2:28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2:28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2:28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2:28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2:28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2:28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2:28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2:28" ht="15.7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2:28" ht="15.7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2:28" ht="15.7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2:28" ht="15.7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2:28" ht="15.7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2:28" ht="15.7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2:28" ht="15.7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2:28" ht="15.7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2:28" ht="15.7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2:28" ht="15.7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2:28" ht="15.7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2:28" ht="15.7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2:28" ht="15.7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2:28" ht="15.7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2:28" ht="15.7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2:28" ht="15.7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2:28" ht="15.7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2:28" ht="15.7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2:28" ht="15.7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2:28" ht="15.7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2:28" ht="15.7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2:28" ht="15.7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2:28" ht="15.7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2:28" ht="15.7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2:28" ht="15.7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2:28" ht="15.7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2:28" ht="15.7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2:28" ht="15.7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2:28" ht="15.7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2:28" ht="15.7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2:28" ht="15.7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2:28" ht="15.7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2:28" ht="15.7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2:28" ht="15.7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2:28" ht="15.7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2:28" ht="15.7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2:28" ht="15.7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2:28" ht="15.7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2:28" ht="15.7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2:28" ht="15.7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2:28" ht="15.7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2:28" ht="15.7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2:28" ht="15.7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2:28" ht="15.7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2:28" ht="15.7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2:28" ht="15.7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2:28" ht="15.7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2:28" ht="15.7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2:28" ht="15.7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2:28" ht="15.7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2:28" ht="15.7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2:28" ht="15.7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2:28" ht="15.7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2:28" ht="15.7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2:28" ht="15.7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2:28" ht="15.7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2:28" ht="15.7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2:28" ht="15.7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2:28" ht="15.7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2:28" ht="15.7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2:28" ht="15.7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2:28" ht="15.7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2:28" ht="15.7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2:28" ht="15.7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2:28" ht="15.7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2:28" ht="15.7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2:28" ht="15.7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2:28" ht="15.7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2:28" ht="15.7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2:28" ht="15.7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2:28" ht="15.7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2:28" ht="15.7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2:28" ht="15.7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2:28" ht="15.7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2:28" ht="15.7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2:28" ht="15.7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2:28" ht="15.7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2:28" ht="15.7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2:28" ht="15.7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2:28" ht="15.7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2:28" ht="15.7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2:28" ht="15.7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2:28" ht="15.7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2:28" ht="15.7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2:28" ht="15.7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2:28" ht="15.7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2:28" ht="15.7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2:28" ht="15.7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2:28" ht="15.7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2:28" ht="15.7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2:28" ht="15.7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2:28" ht="15.7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2:28" ht="15.7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2:28" ht="15.7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2:28" ht="15.7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2:28" ht="15.7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2:28" ht="15.7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2:28" ht="15.7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2:28" ht="15.7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2:28" ht="15.7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2:28" ht="15.7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2:28" ht="15.7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2:28" ht="15.7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2:28" ht="15.7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2:28" ht="15.7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2:28" ht="15.7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2:28" ht="15.7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2:28" ht="15.7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2:28" ht="15.7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2:28" ht="15.7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2:28" ht="15.7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2:28" ht="15.7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2:28" ht="15.7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2:28" ht="15.7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2:28" ht="15.7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2:28" ht="15.7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2:28" ht="15.7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2:28" ht="15.7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2:28" ht="15.7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2:28" ht="15.7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2:28" ht="15.7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2:28" ht="15.7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2:28" ht="15.7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2:28" ht="15.7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2:28" ht="15.7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2:28" ht="15.7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2:28" ht="15.7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2:28" ht="15.7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2:28" ht="15.7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2:28" ht="15.7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2:28" ht="15.7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2:28" ht="15.7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2:28" ht="15.7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2:28" ht="15.7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2:28" ht="15.7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2:28" ht="15.7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2:28" ht="15.7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2:28" ht="15.7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2:28" ht="15.7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2:28" ht="15.7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2:28" ht="15.7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2:28" ht="15.7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2:28" ht="15.7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2:28" ht="15.7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2:28" ht="15.7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2:28" ht="15.7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2:28" ht="15.7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2:28" ht="15.7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2:28" ht="15.7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2:28" ht="15.7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2:28" ht="15.7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2:28" ht="15.7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2:28" ht="15.7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2:28" ht="15.7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2:28" ht="15.7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2:28" ht="15.7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2:28" ht="15.7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2:28" ht="15.7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2:28" ht="15.7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2:28" ht="15.7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2:28" ht="15.7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2:28" ht="15.7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2:28" ht="15.7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2:28" ht="15.7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2:28" ht="15.7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2:28" ht="15.7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2:28" ht="15.7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2:28" ht="15.7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2:28" ht="15.7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2:28" ht="15.7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2:28" ht="15.7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2:28" ht="15.7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2:28" ht="15.7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2:28" ht="15.7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2:28" ht="15.7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2:28" ht="15.7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2:28" ht="15.7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2:28" ht="15.7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2:28" ht="15.7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2:28" ht="15.7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2:28" ht="15.7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2:28" ht="15.7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2:28" ht="15.7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2:28" ht="15.7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2:28" ht="15.7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2:28" ht="15.7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2:28" ht="15.7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2:28" ht="15.7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2:28" ht="15.7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2:28" ht="15.7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2:28" ht="15.7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2:28" ht="15.7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2:28" ht="15.7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2:28" ht="15.7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2:28" ht="15.7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2:28" ht="15.7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2:28" ht="15.7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2:28" ht="15.7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2:28" ht="15.7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2:28" ht="15.7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2:28" ht="15.7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2:28" ht="15.7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2:28" ht="15.7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2:28" ht="15.7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2:28" ht="15.7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2:28" ht="15.7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2:28" ht="15.7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2:28" ht="15.7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2:28" ht="15.7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2:28" ht="15.7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2:28" ht="15.7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2:28" ht="15.7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2:28" ht="15.7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2:28" ht="15.7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2:28" ht="15.7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2:28" ht="15.7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2:28" ht="15.7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2:28" ht="15.7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2:28" ht="15.7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2:28" ht="15.7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2:28" ht="15.7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2:28" ht="15.7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2:28" ht="15.7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2:28" ht="15.7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2:28" ht="15.7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2:28" ht="15.7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2:28" ht="15.7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2:28" ht="15.7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2:28" ht="15.7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2:28" ht="15.7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2:28" ht="15.7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2:28" ht="15.7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2:28" ht="15.7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2:28" ht="15.7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2:28" ht="15.7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2:28" ht="15.7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2:28" ht="15.7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2:28" ht="15.7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2:28" ht="15.7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2:28" ht="15.7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2:28" ht="15.7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2:28" ht="15.7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2:28" ht="15.7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2:28" ht="15.7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2:28" ht="15.7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2:28" ht="15.7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2:28" ht="15.7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2:28" ht="15.7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2:28" ht="15.7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2:28" ht="15.7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2:28" ht="15.7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2:28" ht="15.7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2:28" ht="15.7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2:28" ht="15.7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2:28" ht="15.7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2:28" ht="15.7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2:28" ht="15.7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2:28" ht="15.7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2:28" ht="15.7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2:28" ht="15.7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2:28" ht="15.7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2:28" ht="15.7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2:28" ht="15.7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2:28" ht="15.7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2:28" ht="15.7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2:28" ht="15.7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2:28" ht="15.7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2:28" ht="15.7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2:28" ht="15.7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2:28" ht="15.7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2:28" ht="15.7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2:28" ht="15.7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2:28" ht="15.7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2:28" ht="15.7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2:28" ht="15.7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2:28" ht="15.7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2:28" ht="15.7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2:28" ht="15.7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2:28" ht="15.7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2:28" ht="15.7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2:28" ht="15.7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2:28" ht="15.7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2:28" ht="15.7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2:28" ht="15.7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2:28" ht="15.7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2:28" ht="15.7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2:28" ht="15.7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2:28" ht="15.7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2:28" ht="15.7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2:28" ht="15.7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2:28" ht="15.7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2:28" ht="15.7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2:28" ht="15.7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2:28" ht="15.7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2:28" ht="15.7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2:28" ht="15.7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2:28" ht="15.7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2:28" ht="15.7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2:28" ht="15.7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2:28" ht="15.7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2:28" ht="15.7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2:28" ht="15.7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2:28" ht="15.7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2:28" ht="15.7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2:28" ht="15.7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2:28" ht="15.7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2:28" ht="15.7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2:28" ht="15.7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2:28" ht="15.7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2:28" ht="15.7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2:28" ht="15.7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2:28" ht="15.7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2:28" ht="15.7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2:28" ht="15.7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2:28" ht="15.7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2:28" ht="15.7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2:28" ht="15.7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2:28" ht="15.7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2:28" ht="15.7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2:28" ht="15.7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2:28" ht="15.7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2:28" ht="15.7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2:28" ht="15.7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2:28" ht="15.7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2:28" ht="15.7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2:28" ht="15.7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2:28" ht="15.7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2:28" ht="15.7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2:28" ht="15.7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2:28" ht="15.7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2:28" ht="15.7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2:28" ht="15.7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2:28" ht="15.7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2:28" ht="15.7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2:28" ht="15.7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2:28" ht="15.7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2:28" ht="15.7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2:28" ht="15.7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2:28" ht="15.7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2:28" ht="15.7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2:28" ht="15.7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2:28" ht="15.7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2:28" ht="15.7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2:28" ht="15.7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2:28" ht="15.7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2:28" ht="15.7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2:28" ht="15.7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2:28" ht="15.7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2:28" ht="15.7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2:28" ht="15.7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2:28" ht="15.7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2:28" ht="15.7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2:28" ht="15.7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2:28" ht="15.7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2:28" ht="15.7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2:28" ht="15.7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2:28" ht="15.7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2:28" ht="15.7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2:28" ht="15.7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2:28" ht="15.7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2:28" ht="15.7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2:28" ht="15.7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2:28" ht="15.7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2:28" ht="15.7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2:28" ht="15.7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2:28" ht="15.7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2:28" ht="15.7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2:28" ht="15.7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2:28" ht="15.7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2:28" ht="15.7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2:28" ht="15.7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2:28" ht="15.7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2:28" ht="15.7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2:28" ht="15.7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2:28" ht="15.7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2:28" ht="15.7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2:28" ht="15.7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2:28" ht="15.7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2:28" ht="15.7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2:28" ht="15.7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2:28" ht="15.7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2:28" ht="15.7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2:28" ht="15.7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2:28" ht="15.7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2:28" ht="15.7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2:28" ht="15.7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2:28" ht="15.7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2:28" ht="15.7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2:28" ht="15.7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2:28" ht="15.7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2:28" ht="15.7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2:28" ht="15.7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2:28" ht="15.7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2:28" ht="15.7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2:28" ht="15.7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2:28" ht="15.7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2:28" ht="15.7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2:28" ht="15.7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2:28" ht="15.7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2:28" ht="15.7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2:28" ht="15.7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2:28" ht="15.7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2:28" ht="15.7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2:28" ht="15.7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2:28" ht="15.7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2:28" ht="15.7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2:28" ht="15.7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2:28" ht="15.7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2:28" ht="15.7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2:28" ht="15.7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2:28" ht="15.7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2:28" ht="15.7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2:28" ht="15.7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2:28" ht="15.7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2:28" ht="15.7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2:28" ht="15.7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2:28" ht="15.7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2:28" ht="15.7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2:28" ht="15.7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2:28" ht="15.7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2:28" ht="15.7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2:28" ht="15.7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2:28" ht="15.7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2:28" ht="15.7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2:28" ht="15.7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2:28" ht="15.7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2:28" ht="15.7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2:28" ht="15.7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2:28" ht="15.7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2:28" ht="15.7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2:28" ht="15.7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2:28" ht="15.7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2:28" ht="15.7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2:28" ht="15.7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2:28" ht="15.7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2:28" ht="15.7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2:28" ht="15.7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2:28" ht="15.7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2:28" ht="15.7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2:28" ht="15.7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2:28" ht="15.7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2:28" ht="15.7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2:28" ht="15.7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2:28" ht="15.7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2:28" ht="15.7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2:28" ht="15.7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2:28" ht="15.7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2:28" ht="15.7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2:28" ht="15.7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2:28" ht="15.7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2:28" ht="15.7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2:28" ht="15.7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2:28" ht="15.7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2:28" ht="15.7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2:28" ht="15.7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2:28" ht="15.7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2:28" ht="15.7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2:28" ht="15.7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2:28" ht="15.7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2:28" ht="15.7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2:28" ht="15.7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2:28" ht="15.7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2:28" ht="15.7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2:28" ht="15.7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2:28" ht="15.7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2:28" ht="15.7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2:28" ht="15.7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2:28" ht="15.7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2:28" ht="15.7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2:28" ht="15.7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2:28" ht="15.7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2:28" ht="15.7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2:28" ht="15.7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2:28" ht="15.7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2:28" ht="15.7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2:28" ht="15.7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2:28" ht="15.7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2:28" ht="15.7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2:28" ht="15.7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2:28" ht="15.7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2:28" ht="15.7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2:28" ht="15.7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2:28" ht="15.7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2:28" ht="15.7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2:28" ht="15.7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2:28" ht="15.7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2:28" ht="15.7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2:28" ht="15.7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2:28" ht="15.7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2:28" ht="15.7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2:28" ht="15.7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2:28" ht="15.7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2:28" ht="15.7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2:28" ht="15.7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2:28" ht="15.7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2:28" ht="15.7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2:28" ht="15.7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2:28" ht="15.7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2:28" ht="15.7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2:28" ht="15.7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2:28" ht="15.7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2:28" ht="15.7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2:28" ht="15.7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2:28" ht="15.7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2:28" ht="15.7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2:28" ht="15.7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2:28" ht="15.7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2:28" ht="15.7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2:28" ht="15.7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2:28" ht="15.7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2:28" ht="15.7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2:28" ht="15.7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2:28" ht="15.7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2:28" ht="15.7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2:28" ht="15.7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2:28" ht="15.7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2:28" ht="15.7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2:28" ht="15.7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2:28" ht="15.7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2:28" ht="15.7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2:28" ht="15.7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2:28" ht="15.7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2:28" ht="15.7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2:28" ht="15.7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2:28" ht="15.7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2:28" ht="15.7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2:28" ht="15.7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2:28" ht="15.7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2:28" ht="15.7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2:28" ht="15.7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2:28" ht="15.7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2:28" ht="15.7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2:28" ht="15.7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2:28" ht="15.7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2:28" ht="15.7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2:28" ht="15.7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2:28" ht="15.7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2:28" ht="15.7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2:28" ht="15.7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2:28" ht="15.7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2:28" ht="15.7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2:28" ht="15.7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2:28" ht="15.7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2:28" ht="15.7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2:28" ht="15.7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2:28" ht="15.7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2:28" ht="15.7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2:28" ht="15.7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2:28" ht="15.7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2:28" ht="15.7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2:28" ht="15.7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2:28" ht="15.7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2:28" ht="15.7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2:28" ht="15.7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2:28" ht="15.7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2:28" ht="15.7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2:28" ht="15.7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2:28" ht="15.7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2:28" ht="15.7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2:28" ht="15.7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2:28" ht="15.7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2:28" ht="15.7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2:28" ht="15.7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2:28" ht="15.7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2:28" ht="15.7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2:28" ht="15.7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2:28" ht="15.7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2:28" ht="15.7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2:28" ht="15.7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2:28" ht="15.7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2:28" ht="15.7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2:28" ht="15.7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2:28" ht="15.7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2:28" ht="15.7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2:28" ht="15.7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2:28" ht="15.7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2:28" ht="15.7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2:28" ht="15.7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2:28" ht="15.7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2:28" ht="15.7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2:28" ht="15.7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2:28" ht="15.7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2:28" ht="15.7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2:28" ht="15.7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2:28" ht="15.7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2:28" ht="15.7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2:28" ht="15.7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2:28" ht="15.7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2:28" ht="15.7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2:28" ht="15.7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2:28" ht="15.7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2:28" ht="15.7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2:28" ht="15.7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2:28" ht="15.7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2:28" ht="15.7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2:28" ht="15.7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2:28" ht="15.7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2:28" ht="15.7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2:28" ht="15.7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2:28" ht="15.7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2:28" ht="15.7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2:28" ht="15.7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2:28" ht="15.7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2:28" ht="15.7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2:28" ht="15.7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2:28" ht="15.7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2:28" ht="15.7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2:28" ht="15.7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2:28" ht="15.7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2:28" ht="15.7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2:28" ht="15.7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2:28" ht="15.7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2:28" ht="15.7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2:28" ht="15.7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2:28" ht="15.7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2:28" ht="15.7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2:28" ht="15.7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2:28" ht="15.7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2:28" ht="15.7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2:28" ht="15.7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2:28" ht="15.7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2:28" ht="15.7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2:28" ht="15.7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2:28" ht="15.7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2:28" ht="15.7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2:28" ht="15.7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2:28" ht="15.7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2:28" ht="15.7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2:28" ht="15.7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2:28" ht="15.7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2:28" ht="15.7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2:28" ht="15.7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2:28" ht="15.7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2:28" ht="15.7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2:28" ht="15.7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2:28" ht="15.7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2:28" ht="15.7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2:28" ht="15.7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2:28" ht="15.7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2:28" ht="15.7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2:28" ht="15.7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2:28" ht="15.7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2:28" ht="15.7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2:28" ht="15.7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2:28" ht="15.7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2:28" ht="15.7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2:28" ht="15.7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2:28" ht="15.7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2:28" ht="15.7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2:28" ht="15.7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2:28" ht="15.7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2:28" ht="15.7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2:28" ht="15.7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2:28" ht="15.7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2:28" ht="15.7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2:28" ht="15.7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2:28" ht="15.7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2:28" ht="15.7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2:28" ht="15.7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2:28" ht="15.7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2:28" ht="15.7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2:28" ht="15.7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2:28" ht="15.7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2:28" ht="15.7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2:28" ht="15.7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2:28" ht="15.7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2:28" ht="15.7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2:28" ht="15.7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2:28" ht="15.7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2:28" ht="15.7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2:28" ht="15.7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2:28" ht="15.7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2:28" ht="15.7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2:28" ht="15.7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2:28" ht="15.7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2:28" ht="15.7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2:28" ht="15.7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2:28" ht="15.7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2:28" ht="15.7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2:28" ht="15.7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2:28" ht="15.7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2:28" ht="15.7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2:28" ht="15.7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2:28" ht="15.7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2:28" ht="15.7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2:28" ht="15.7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2:28" ht="15.7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2:28" ht="15.7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2:28" ht="15.7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2:28" ht="15.7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2:28" ht="15.7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2:28" ht="15.7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2:28" ht="15.7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2:28" ht="15.7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2:28" ht="15.7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2:28" ht="15.7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2:28" ht="15.7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2:28" ht="15.7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2:28" ht="15.7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2:28" ht="15.7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2:28" ht="15.7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2:28" ht="15.7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2:28" ht="15.7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2:28" ht="15.7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2:28" ht="15.7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2:28" ht="15.7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2:28" ht="15.7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2:28" ht="15.7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2:28" ht="15.7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2:28" ht="15.7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2:28" ht="15.7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2:28" ht="15.7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2:28" ht="15.7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2:28" ht="15.7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2:28" ht="15.7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2:28" ht="15.7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2:28" ht="15.7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2:28" ht="15.7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2:28" ht="15.7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2:28" ht="15.7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2:28" ht="15.7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2:28" ht="15.7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2:28" ht="15.7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2:28" ht="15.7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2:28" ht="15.7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2:28" ht="15.7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2:28" ht="15.7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2:28" ht="15.7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2:28" ht="15.7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2:28" ht="15.7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2:28" ht="15.7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2:28" ht="15.75" customHeight="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1">
    <mergeCell ref="B1:J1"/>
  </mergeCells>
  <phoneticPr fontId="24" type="noConversion"/>
  <hyperlinks>
    <hyperlink ref="C3" r:id="rId1" xr:uid="{00000000-0004-0000-0A00-000000000000}"/>
    <hyperlink ref="C4" r:id="rId2" xr:uid="{00000000-0004-0000-0A00-000001000000}"/>
    <hyperlink ref="C5" r:id="rId3" xr:uid="{00000000-0004-0000-0A00-000002000000}"/>
    <hyperlink ref="C6" r:id="rId4" xr:uid="{00000000-0004-0000-0A00-000003000000}"/>
    <hyperlink ref="C7" r:id="rId5" xr:uid="{00000000-0004-0000-0A00-000004000000}"/>
    <hyperlink ref="C9" r:id="rId6" xr:uid="{00000000-0004-0000-0A00-000005000000}"/>
    <hyperlink ref="C10" r:id="rId7" xr:uid="{00000000-0004-0000-0A00-000006000000}"/>
    <hyperlink ref="C12" r:id="rId8" xr:uid="{00000000-0004-0000-0A00-000007000000}"/>
    <hyperlink ref="C13" r:id="rId9" xr:uid="{00000000-0004-0000-0A00-000008000000}"/>
    <hyperlink ref="C14" r:id="rId10" xr:uid="{00000000-0004-0000-0A00-000009000000}"/>
    <hyperlink ref="C15" r:id="rId11" xr:uid="{00000000-0004-0000-0A00-00000A000000}"/>
    <hyperlink ref="C16" r:id="rId12" xr:uid="{00000000-0004-0000-0A00-00000B000000}"/>
    <hyperlink ref="C17" r:id="rId13" xr:uid="{00000000-0004-0000-0A00-00000C000000}"/>
    <hyperlink ref="C18" r:id="rId14" xr:uid="{00000000-0004-0000-0A00-00000D000000}"/>
    <hyperlink ref="C19" r:id="rId15" xr:uid="{00000000-0004-0000-0A00-00000E000000}"/>
    <hyperlink ref="C20" r:id="rId16" xr:uid="{00000000-0004-0000-0A00-00000F000000}"/>
    <hyperlink ref="C21" r:id="rId17" xr:uid="{00000000-0004-0000-0A00-00001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42"/>
  <sheetViews>
    <sheetView topLeftCell="A7" workbookViewId="0"/>
  </sheetViews>
  <sheetFormatPr baseColWidth="10" defaultColWidth="11.1640625" defaultRowHeight="15" customHeight="1"/>
  <cols>
    <col min="1" max="1" width="15.83203125" customWidth="1"/>
    <col min="2" max="2" width="16.1640625" customWidth="1"/>
  </cols>
  <sheetData>
    <row r="1" spans="1:6" ht="16">
      <c r="A1" s="34" t="s">
        <v>740</v>
      </c>
      <c r="B1" s="33"/>
      <c r="C1" s="33"/>
      <c r="D1" s="25"/>
      <c r="E1" s="33"/>
      <c r="F1" s="33"/>
    </row>
    <row r="2" spans="1:6" ht="16">
      <c r="A2" s="33" t="s">
        <v>679</v>
      </c>
      <c r="B2" s="33" t="s">
        <v>741</v>
      </c>
      <c r="C2" s="33" t="s">
        <v>300</v>
      </c>
      <c r="D2" s="25" t="s">
        <v>742</v>
      </c>
      <c r="E2" s="33" t="s">
        <v>743</v>
      </c>
      <c r="F2" s="33" t="s">
        <v>744</v>
      </c>
    </row>
    <row r="3" spans="1:6" ht="16">
      <c r="A3" s="23" t="s">
        <v>385</v>
      </c>
      <c r="B3" s="23" t="s">
        <v>378</v>
      </c>
      <c r="C3" s="23" t="s">
        <v>745</v>
      </c>
      <c r="D3" s="24" t="s">
        <v>746</v>
      </c>
      <c r="E3" s="23" t="s">
        <v>747</v>
      </c>
      <c r="F3" s="23" t="s">
        <v>748</v>
      </c>
    </row>
    <row r="4" spans="1:6" ht="16">
      <c r="A4" s="23" t="s">
        <v>749</v>
      </c>
      <c r="B4" s="23" t="s">
        <v>378</v>
      </c>
      <c r="C4" s="23" t="s">
        <v>745</v>
      </c>
      <c r="D4" s="24" t="s">
        <v>750</v>
      </c>
      <c r="E4" s="23" t="s">
        <v>751</v>
      </c>
      <c r="F4" s="23" t="s">
        <v>752</v>
      </c>
    </row>
    <row r="5" spans="1:6" ht="16">
      <c r="A5" s="23" t="s">
        <v>753</v>
      </c>
      <c r="B5" s="23" t="s">
        <v>378</v>
      </c>
      <c r="C5" s="23" t="s">
        <v>679</v>
      </c>
      <c r="D5" s="24" t="s">
        <v>754</v>
      </c>
      <c r="E5" s="23" t="s">
        <v>755</v>
      </c>
      <c r="F5" s="23" t="s">
        <v>756</v>
      </c>
    </row>
    <row r="6" spans="1:6" ht="16">
      <c r="A6" s="23" t="s">
        <v>757</v>
      </c>
      <c r="B6" s="23" t="s">
        <v>758</v>
      </c>
      <c r="C6" s="23" t="s">
        <v>759</v>
      </c>
      <c r="D6" s="24" t="s">
        <v>760</v>
      </c>
      <c r="E6" s="23" t="s">
        <v>761</v>
      </c>
      <c r="F6" s="23" t="s">
        <v>762</v>
      </c>
    </row>
    <row r="7" spans="1:6" ht="16">
      <c r="A7" s="23" t="s">
        <v>763</v>
      </c>
      <c r="B7" s="23" t="s">
        <v>758</v>
      </c>
      <c r="C7" s="23" t="s">
        <v>759</v>
      </c>
      <c r="D7" s="24" t="s">
        <v>760</v>
      </c>
      <c r="E7" s="23" t="s">
        <v>764</v>
      </c>
      <c r="F7" s="23" t="s">
        <v>765</v>
      </c>
    </row>
    <row r="8" spans="1:6" ht="16">
      <c r="A8" s="23" t="s">
        <v>303</v>
      </c>
      <c r="B8" s="23" t="s">
        <v>758</v>
      </c>
      <c r="C8" s="23" t="s">
        <v>745</v>
      </c>
      <c r="D8" s="24" t="s">
        <v>766</v>
      </c>
      <c r="E8" s="23" t="s">
        <v>767</v>
      </c>
      <c r="F8" s="23" t="s">
        <v>768</v>
      </c>
    </row>
    <row r="9" spans="1:6" ht="16">
      <c r="A9" s="23" t="s">
        <v>739</v>
      </c>
      <c r="B9" s="23" t="s">
        <v>769</v>
      </c>
      <c r="C9" s="23" t="s">
        <v>770</v>
      </c>
      <c r="D9" s="24" t="s">
        <v>771</v>
      </c>
      <c r="E9" s="23" t="s">
        <v>772</v>
      </c>
      <c r="F9" s="23" t="s">
        <v>773</v>
      </c>
    </row>
    <row r="10" spans="1:6" ht="16">
      <c r="A10" s="23" t="s">
        <v>774</v>
      </c>
      <c r="B10" s="23" t="s">
        <v>758</v>
      </c>
      <c r="C10" s="23" t="s">
        <v>759</v>
      </c>
      <c r="D10" s="24" t="s">
        <v>760</v>
      </c>
      <c r="E10" s="23" t="s">
        <v>775</v>
      </c>
      <c r="F10" s="23" t="s">
        <v>776</v>
      </c>
    </row>
    <row r="11" spans="1:6" ht="16">
      <c r="A11" s="23" t="s">
        <v>666</v>
      </c>
      <c r="B11" s="23" t="s">
        <v>777</v>
      </c>
      <c r="C11" s="23" t="s">
        <v>759</v>
      </c>
      <c r="D11" s="24" t="s">
        <v>750</v>
      </c>
      <c r="E11" s="23" t="s">
        <v>778</v>
      </c>
      <c r="F11" s="23" t="s">
        <v>779</v>
      </c>
    </row>
    <row r="12" spans="1:6" ht="16">
      <c r="A12" s="23" t="s">
        <v>780</v>
      </c>
      <c r="B12" s="23" t="s">
        <v>781</v>
      </c>
      <c r="C12" s="23" t="s">
        <v>759</v>
      </c>
      <c r="D12" s="24" t="s">
        <v>760</v>
      </c>
      <c r="E12" s="23" t="s">
        <v>782</v>
      </c>
      <c r="F12" s="23" t="s">
        <v>783</v>
      </c>
    </row>
    <row r="13" spans="1:6" ht="16">
      <c r="A13" s="35" t="s">
        <v>784</v>
      </c>
      <c r="B13" s="23" t="s">
        <v>781</v>
      </c>
      <c r="C13" s="23" t="s">
        <v>745</v>
      </c>
      <c r="D13" s="24" t="s">
        <v>760</v>
      </c>
      <c r="E13" s="23" t="s">
        <v>785</v>
      </c>
      <c r="F13" s="23" t="s">
        <v>786</v>
      </c>
    </row>
    <row r="14" spans="1:6" ht="16">
      <c r="A14" s="23" t="s">
        <v>738</v>
      </c>
      <c r="B14" s="23" t="s">
        <v>787</v>
      </c>
      <c r="C14" s="23" t="s">
        <v>679</v>
      </c>
      <c r="D14" s="24" t="s">
        <v>788</v>
      </c>
      <c r="E14" s="23" t="s">
        <v>789</v>
      </c>
      <c r="F14" s="23" t="s">
        <v>790</v>
      </c>
    </row>
    <row r="15" spans="1:6" ht="16">
      <c r="A15" s="23" t="s">
        <v>791</v>
      </c>
      <c r="B15" s="23" t="s">
        <v>787</v>
      </c>
      <c r="C15" s="23" t="s">
        <v>679</v>
      </c>
      <c r="D15" s="24" t="s">
        <v>792</v>
      </c>
      <c r="E15" s="23" t="s">
        <v>793</v>
      </c>
      <c r="F15" s="23" t="s">
        <v>794</v>
      </c>
    </row>
    <row r="16" spans="1:6" ht="16">
      <c r="A16" s="23" t="s">
        <v>737</v>
      </c>
      <c r="B16" s="23" t="s">
        <v>787</v>
      </c>
      <c r="C16" s="23" t="s">
        <v>795</v>
      </c>
      <c r="D16" s="24" t="s">
        <v>796</v>
      </c>
      <c r="E16" s="23" t="s">
        <v>797</v>
      </c>
      <c r="F16" s="23" t="s">
        <v>798</v>
      </c>
    </row>
    <row r="18" spans="1:2" ht="16">
      <c r="A18" s="33" t="s">
        <v>679</v>
      </c>
      <c r="B18" s="33" t="s">
        <v>799</v>
      </c>
    </row>
    <row r="19" spans="1:2" ht="16">
      <c r="A19" s="23" t="s">
        <v>800</v>
      </c>
      <c r="B19" s="36">
        <v>0.71</v>
      </c>
    </row>
    <row r="20" spans="1:2" ht="16">
      <c r="A20" s="23" t="s">
        <v>378</v>
      </c>
      <c r="B20" s="36">
        <v>0.65</v>
      </c>
    </row>
    <row r="21" spans="1:2" ht="16">
      <c r="A21" s="23" t="s">
        <v>801</v>
      </c>
      <c r="B21" s="23" t="s">
        <v>802</v>
      </c>
    </row>
    <row r="23" spans="1:2" ht="16">
      <c r="A23" s="33" t="s">
        <v>553</v>
      </c>
      <c r="B23" s="33" t="s">
        <v>300</v>
      </c>
    </row>
    <row r="24" spans="1:2" ht="16">
      <c r="A24" s="23" t="s">
        <v>800</v>
      </c>
      <c r="B24" s="36">
        <v>0.85</v>
      </c>
    </row>
    <row r="25" spans="1:2" ht="16">
      <c r="A25" s="23" t="s">
        <v>378</v>
      </c>
      <c r="B25" s="36">
        <v>0.75</v>
      </c>
    </row>
    <row r="29" spans="1:2" ht="15" customHeight="1">
      <c r="A29" s="37"/>
      <c r="B29" s="37"/>
    </row>
    <row r="30" spans="1:2" ht="15" customHeight="1">
      <c r="A30" s="37"/>
      <c r="B30" s="37"/>
    </row>
    <row r="31" spans="1:2" ht="15" customHeight="1">
      <c r="A31" s="37"/>
      <c r="B31" s="37"/>
    </row>
    <row r="32" spans="1:2" ht="15" customHeight="1">
      <c r="A32" s="37"/>
      <c r="B32" s="37"/>
    </row>
    <row r="33" spans="1:2" ht="15" customHeight="1">
      <c r="A33" s="37"/>
      <c r="B33" s="37"/>
    </row>
    <row r="34" spans="1:2" ht="15" customHeight="1">
      <c r="A34" s="37"/>
      <c r="B34" s="37"/>
    </row>
    <row r="35" spans="1:2" ht="15" customHeight="1">
      <c r="A35" s="37"/>
      <c r="B35" s="37"/>
    </row>
    <row r="36" spans="1:2" ht="15" customHeight="1">
      <c r="A36" s="37"/>
      <c r="B36" s="37"/>
    </row>
    <row r="37" spans="1:2" ht="15" customHeight="1">
      <c r="A37" s="37" t="s">
        <v>803</v>
      </c>
      <c r="B37" s="37"/>
    </row>
    <row r="38" spans="1:2" ht="15" customHeight="1">
      <c r="A38" s="37" t="s">
        <v>804</v>
      </c>
      <c r="B38" s="38" t="s">
        <v>805</v>
      </c>
    </row>
    <row r="39" spans="1:2" ht="15" customHeight="1">
      <c r="A39" s="37" t="s">
        <v>806</v>
      </c>
      <c r="B39" s="38" t="s">
        <v>807</v>
      </c>
    </row>
    <row r="40" spans="1:2" ht="15" customHeight="1">
      <c r="A40" s="37"/>
      <c r="B40" s="37"/>
    </row>
    <row r="41" spans="1:2" ht="15" customHeight="1">
      <c r="A41" s="37"/>
      <c r="B41" s="37"/>
    </row>
    <row r="42" spans="1:2" ht="15" customHeight="1">
      <c r="A42" s="37" t="s">
        <v>808</v>
      </c>
      <c r="B42" s="39" t="s">
        <v>809</v>
      </c>
    </row>
  </sheetData>
  <hyperlinks>
    <hyperlink ref="A13" r:id="rId1" xr:uid="{00000000-0004-0000-0C00-000000000000}"/>
    <hyperlink ref="B38" r:id="rId2" xr:uid="{00000000-0004-0000-0C00-000001000000}"/>
    <hyperlink ref="B39" r:id="rId3" xr:uid="{00000000-0004-0000-0C00-000002000000}"/>
    <hyperlink ref="B42" r:id="rId4" xr:uid="{00000000-0004-0000-0C00-000003000000}"/>
  </hyperlinks>
  <pageMargins left="0.7" right="0.7" top="0.75" bottom="0.75" header="0.3" footer="0.3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baseColWidth="10" defaultColWidth="11.1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Televisión</vt:lpstr>
      <vt:lpstr>Radio</vt:lpstr>
      <vt:lpstr>Cable</vt:lpstr>
      <vt:lpstr>Exteriores</vt:lpstr>
      <vt:lpstr>Impresos</vt:lpstr>
      <vt:lpstr>Digital</vt:lpstr>
      <vt:lpstr>Estudios de audiencias</vt:lpstr>
      <vt:lpstr>Paquetes especiales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Bosarreyes</dc:creator>
  <cp:lastModifiedBy>Luis Bosareyes</cp:lastModifiedBy>
  <dcterms:created xsi:type="dcterms:W3CDTF">2025-12-28T17:52:04Z</dcterms:created>
  <dcterms:modified xsi:type="dcterms:W3CDTF">2026-08-18T20:35:19Z</dcterms:modified>
</cp:coreProperties>
</file>